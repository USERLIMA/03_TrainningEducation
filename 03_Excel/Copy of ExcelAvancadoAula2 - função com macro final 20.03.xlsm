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7.xml" ContentType="application/vnd.openxmlformats-officedocument.drawing+xml"/>
  <Override PartName="/xl/tables/table11.xml" ContentType="application/vnd.openxmlformats-officedocument.spreadsheetml.table+xml"/>
  <Override PartName="/xl/drawings/drawing8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78ac8c816c3d686/Documentos/Excel/AULATRAINNING/PYTHON/TRAINNING/EXCELwb/"/>
    </mc:Choice>
  </mc:AlternateContent>
  <xr:revisionPtr revIDLastSave="0" documentId="13_ncr:1_{C4305D42-0C74-4512-BDB1-3A29E5CD8E3F}" xr6:coauthVersionLast="47" xr6:coauthVersionMax="47" xr10:uidLastSave="{00000000-0000-0000-0000-000000000000}"/>
  <bookViews>
    <workbookView xWindow="1536" yWindow="1536" windowWidth="17280" windowHeight="8880" tabRatio="827" firstSheet="1" activeTab="11" xr2:uid="{D74FD127-DE0C-4C89-9984-0C0E39EEF2A6}"/>
  </bookViews>
  <sheets>
    <sheet name="AULA 1" sheetId="21" r:id="rId1"/>
    <sheet name="TEXTO_1" sheetId="11" r:id="rId2"/>
    <sheet name="PROCURAR" sheetId="13" r:id="rId3"/>
    <sheet name="PROCURAR_LOCALIZAR" sheetId="15" r:id="rId4"/>
    <sheet name="HORAS_1" sheetId="6" r:id="rId5"/>
    <sheet name="HORAS_2" sheetId="7" r:id="rId6"/>
    <sheet name="DATADIF_2" sheetId="5" r:id="rId7"/>
    <sheet name="DATADIF_3" sheetId="14" r:id="rId8"/>
    <sheet name="DATADIF_1" sheetId="2" r:id="rId9"/>
    <sheet name="Função macro" sheetId="23" r:id="rId10"/>
    <sheet name="Procv" sheetId="20" r:id="rId11"/>
    <sheet name="SE_1" sheetId="1" r:id="rId12"/>
    <sheet name="SE_E" sheetId="17" r:id="rId13"/>
    <sheet name="SE_OU" sheetId="18" r:id="rId14"/>
    <sheet name="Indice_Corresp" sheetId="19" r:id="rId15"/>
    <sheet name="Grafico" sheetId="25" r:id="rId16"/>
    <sheet name="Grafico 2" sheetId="26" r:id="rId17"/>
    <sheet name="SOMASES_5" sheetId="16" r:id="rId18"/>
    <sheet name="SOMASES_1" sheetId="8" r:id="rId19"/>
    <sheet name="SOMASES_4" sheetId="12" r:id="rId20"/>
    <sheet name="SOMASES_3" sheetId="10" r:id="rId21"/>
    <sheet name="SOMASES_2" sheetId="9" r:id="rId22"/>
    <sheet name="SE_2" sheetId="4" r:id="rId23"/>
    <sheet name="HOSPITAL" sheetId="3" r:id="rId24"/>
    <sheet name="Formatação cond." sheetId="27" r:id="rId25"/>
    <sheet name="vencimentos 13.03" sheetId="28" r:id="rId26"/>
    <sheet name="AULA  VBA 20.03" sheetId="29" r:id="rId27"/>
    <sheet name="VENDAS VBA MACRO" sheetId="30" r:id="rId28"/>
    <sheet name="PARÂMETROS VBA MACRO" sheetId="32" r:id="rId29"/>
    <sheet name="REGISTROS VBA MACRO" sheetId="33" r:id="rId30"/>
    <sheet name="DPT PESSOAL VBA MACRO" sheetId="34" r:id="rId31"/>
    <sheet name="TESTE" sheetId="35" r:id="rId32"/>
  </sheets>
  <functionGroups builtInGroupCount="19"/>
  <externalReferences>
    <externalReference r:id="rId33"/>
  </externalReferences>
  <definedNames>
    <definedName name="_xlnm._FilterDatabase" localSheetId="23" hidden="1">HOSPITAL!$A$1:$J$1000</definedName>
    <definedName name="MediaMedico">[1]Cenario!$C$34</definedName>
    <definedName name="Medicos">[1]AreaTrabalho!$M$9:$U$15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19" l="1"/>
  <c r="D6" i="19"/>
  <c r="K7" i="28"/>
  <c r="K8" i="28"/>
  <c r="K9" i="28"/>
  <c r="K10" i="28"/>
  <c r="K11" i="28"/>
  <c r="K12" i="28"/>
  <c r="K13" i="28"/>
  <c r="K14" i="28"/>
  <c r="K15" i="28"/>
  <c r="K6" i="28"/>
  <c r="I15" i="28"/>
  <c r="I14" i="28"/>
  <c r="I13" i="28"/>
  <c r="I12" i="28"/>
  <c r="I11" i="28"/>
  <c r="I10" i="28"/>
  <c r="I9" i="28"/>
  <c r="I8" i="28"/>
  <c r="I7" i="28"/>
  <c r="I6" i="28"/>
  <c r="D7" i="28"/>
  <c r="D8" i="28"/>
  <c r="D9" i="28"/>
  <c r="D10" i="28"/>
  <c r="D11" i="28"/>
  <c r="D12" i="28"/>
  <c r="D13" i="28"/>
  <c r="D14" i="28"/>
  <c r="D15" i="28"/>
  <c r="D6" i="28"/>
  <c r="AF22" i="27"/>
  <c r="AG21" i="27"/>
  <c r="AG20" i="27"/>
  <c r="AG19" i="27"/>
  <c r="AG18" i="27"/>
  <c r="AG17" i="27"/>
  <c r="AG16" i="27"/>
  <c r="AG15" i="27"/>
  <c r="AG14" i="27"/>
  <c r="AG13" i="27"/>
  <c r="AG12" i="27"/>
  <c r="AG11" i="27"/>
  <c r="AG10" i="27"/>
  <c r="AB22" i="27"/>
  <c r="AC21" i="27"/>
  <c r="AC20" i="27"/>
  <c r="AC19" i="27"/>
  <c r="AC18" i="27"/>
  <c r="AC17" i="27"/>
  <c r="AC16" i="27"/>
  <c r="AC15" i="27"/>
  <c r="AC14" i="27"/>
  <c r="AC13" i="27"/>
  <c r="AC12" i="27"/>
  <c r="AC11" i="27"/>
  <c r="AC10" i="27"/>
  <c r="X8" i="27"/>
  <c r="X9" i="27"/>
  <c r="X10" i="27"/>
  <c r="X11" i="27"/>
  <c r="X12" i="27"/>
  <c r="X13" i="27"/>
  <c r="X14" i="27"/>
  <c r="X15" i="27"/>
  <c r="X16" i="27"/>
  <c r="X17" i="27"/>
  <c r="X18" i="27"/>
  <c r="X19" i="27"/>
  <c r="T8" i="27"/>
  <c r="T9" i="27"/>
  <c r="T10" i="27"/>
  <c r="T11" i="27"/>
  <c r="T12" i="27"/>
  <c r="T13" i="27"/>
  <c r="T14" i="27"/>
  <c r="T15" i="27"/>
  <c r="T16" i="27"/>
  <c r="T17" i="27"/>
  <c r="T18" i="27"/>
  <c r="T19" i="27"/>
  <c r="W20" i="27"/>
  <c r="S20" i="27"/>
  <c r="P20" i="27"/>
  <c r="O20" i="27"/>
  <c r="L20" i="27"/>
  <c r="K20" i="27"/>
  <c r="H20" i="27"/>
  <c r="G20" i="27"/>
  <c r="D20" i="27"/>
  <c r="C20" i="27"/>
  <c r="X5" i="20"/>
  <c r="Y5" i="20"/>
  <c r="Z5" i="20"/>
  <c r="W5" i="20"/>
  <c r="N5" i="20"/>
  <c r="W7" i="20" a="1"/>
  <c r="I8" i="23"/>
  <c r="W7" i="20" l="1"/>
  <c r="N2" i="26"/>
  <c r="N1" i="26"/>
  <c r="M2" i="26"/>
  <c r="M3" i="26" s="1"/>
  <c r="M1" i="26"/>
  <c r="H3" i="26"/>
  <c r="H4" i="26"/>
  <c r="H5" i="26"/>
  <c r="H6" i="26"/>
  <c r="H7" i="26"/>
  <c r="H8" i="26"/>
  <c r="H9" i="26"/>
  <c r="H10" i="26"/>
  <c r="H11" i="26"/>
  <c r="H12" i="26"/>
  <c r="H13" i="26"/>
  <c r="H2" i="26"/>
  <c r="K25" i="25"/>
  <c r="D4" i="25"/>
  <c r="D3" i="25"/>
  <c r="H4" i="25" s="1"/>
  <c r="E7" i="18"/>
  <c r="E8" i="18"/>
  <c r="E9" i="18"/>
  <c r="E10" i="18"/>
  <c r="E11" i="18"/>
  <c r="E12" i="18"/>
  <c r="E13" i="18"/>
  <c r="E14" i="18"/>
  <c r="E15" i="18"/>
  <c r="E6" i="18"/>
  <c r="F7" i="17"/>
  <c r="F8" i="17"/>
  <c r="F9" i="17"/>
  <c r="F10" i="17"/>
  <c r="F11" i="17"/>
  <c r="F12" i="17"/>
  <c r="F13" i="17"/>
  <c r="F14" i="17"/>
  <c r="F15" i="17"/>
  <c r="F6" i="17"/>
  <c r="E7" i="17"/>
  <c r="E8" i="17"/>
  <c r="E9" i="17"/>
  <c r="E10" i="17"/>
  <c r="E11" i="17"/>
  <c r="E12" i="17"/>
  <c r="E13" i="17"/>
  <c r="E14" i="17"/>
  <c r="E15" i="17"/>
  <c r="E6" i="17"/>
  <c r="G30" i="1"/>
  <c r="G31" i="1"/>
  <c r="G32" i="1"/>
  <c r="G33" i="1"/>
  <c r="G34" i="1"/>
  <c r="G35" i="1"/>
  <c r="G29" i="1"/>
  <c r="M15" i="1"/>
  <c r="M16" i="1"/>
  <c r="M17" i="1"/>
  <c r="M18" i="1"/>
  <c r="M19" i="1"/>
  <c r="M20" i="1"/>
  <c r="M14" i="1"/>
  <c r="F30" i="1"/>
  <c r="F31" i="1"/>
  <c r="F32" i="1"/>
  <c r="F33" i="1"/>
  <c r="F34" i="1"/>
  <c r="F35" i="1"/>
  <c r="F29" i="1"/>
  <c r="F15" i="1"/>
  <c r="G15" i="1" s="1"/>
  <c r="F16" i="1"/>
  <c r="G16" i="1" s="1"/>
  <c r="F17" i="1"/>
  <c r="G17" i="1" s="1"/>
  <c r="F18" i="1"/>
  <c r="G18" i="1" s="1"/>
  <c r="F19" i="1"/>
  <c r="G19" i="1" s="1"/>
  <c r="F20" i="1"/>
  <c r="G20" i="1" s="1"/>
  <c r="F14" i="1"/>
  <c r="G14" i="1" s="1"/>
  <c r="E5" i="20"/>
  <c r="F5" i="20"/>
  <c r="K29" i="25" l="1"/>
  <c r="K21" i="25"/>
  <c r="K22" i="25"/>
  <c r="K26" i="25"/>
  <c r="K30" i="25"/>
  <c r="K23" i="25"/>
  <c r="K27" i="25"/>
  <c r="K31" i="25"/>
  <c r="K24" i="25"/>
  <c r="K28" i="25"/>
  <c r="K32" i="25"/>
  <c r="H13" i="25"/>
  <c r="H9" i="25"/>
  <c r="H3" i="25"/>
  <c r="H11" i="25"/>
  <c r="H7" i="25"/>
  <c r="H14" i="25"/>
  <c r="H10" i="25"/>
  <c r="H6" i="25"/>
  <c r="H5" i="25"/>
  <c r="D5" i="25"/>
  <c r="H12" i="25"/>
  <c r="H8" i="25"/>
  <c r="G30" i="2"/>
  <c r="G31" i="2"/>
  <c r="G32" i="2"/>
  <c r="G33" i="2"/>
  <c r="G34" i="2"/>
  <c r="G35" i="2"/>
  <c r="G36" i="2"/>
  <c r="G37" i="2"/>
  <c r="G38" i="2"/>
  <c r="G39" i="2"/>
  <c r="G40" i="2"/>
  <c r="G29" i="2"/>
  <c r="F30" i="2"/>
  <c r="F31" i="2"/>
  <c r="F32" i="2"/>
  <c r="F33" i="2"/>
  <c r="F34" i="2"/>
  <c r="F35" i="2"/>
  <c r="F36" i="2"/>
  <c r="F37" i="2"/>
  <c r="F38" i="2"/>
  <c r="F39" i="2"/>
  <c r="F40" i="2"/>
  <c r="F29" i="2"/>
  <c r="AA34" i="2"/>
  <c r="AA33" i="2"/>
  <c r="AA32" i="2"/>
  <c r="S5" i="5"/>
  <c r="U5" i="5" s="1"/>
  <c r="O5" i="5"/>
  <c r="J5" i="5"/>
  <c r="I5" i="5"/>
  <c r="K5" i="5"/>
  <c r="G6" i="5"/>
  <c r="G7" i="5"/>
  <c r="G8" i="5"/>
  <c r="G9" i="5"/>
  <c r="G10" i="5"/>
  <c r="G11" i="5"/>
  <c r="G12" i="5"/>
  <c r="G13" i="5"/>
  <c r="G14" i="5"/>
  <c r="F6" i="5"/>
  <c r="F7" i="5"/>
  <c r="F8" i="5"/>
  <c r="F9" i="5"/>
  <c r="F10" i="5"/>
  <c r="F11" i="5"/>
  <c r="F12" i="5"/>
  <c r="F13" i="5"/>
  <c r="F14" i="5"/>
  <c r="E6" i="5"/>
  <c r="E7" i="5"/>
  <c r="E8" i="5"/>
  <c r="E9" i="5"/>
  <c r="E10" i="5"/>
  <c r="E11" i="5"/>
  <c r="E12" i="5"/>
  <c r="E13" i="5"/>
  <c r="E14" i="5"/>
  <c r="G5" i="5"/>
  <c r="F5" i="5"/>
  <c r="E5" i="5"/>
  <c r="G5" i="7"/>
  <c r="G6" i="7" s="1"/>
  <c r="G4" i="6"/>
  <c r="I23" i="21"/>
  <c r="I24" i="21"/>
  <c r="I28" i="21"/>
  <c r="I29" i="21"/>
  <c r="I27" i="21"/>
  <c r="G6" i="13"/>
  <c r="G7" i="13"/>
  <c r="G8" i="13"/>
  <c r="G9" i="13"/>
  <c r="G5" i="13"/>
  <c r="E6" i="13"/>
  <c r="E7" i="13"/>
  <c r="E8" i="13"/>
  <c r="E9" i="13"/>
  <c r="C6" i="13"/>
  <c r="C7" i="13"/>
  <c r="C8" i="13"/>
  <c r="C9" i="13"/>
  <c r="C5" i="13"/>
  <c r="E5" i="13" s="1"/>
  <c r="E2" i="13"/>
  <c r="G28" i="21"/>
  <c r="G29" i="21"/>
  <c r="G27" i="21"/>
  <c r="I22" i="21"/>
  <c r="G23" i="21"/>
  <c r="G24" i="21"/>
  <c r="G22" i="21"/>
  <c r="G19" i="21"/>
  <c r="G18" i="21"/>
  <c r="F7" i="11"/>
  <c r="F8" i="11"/>
  <c r="F9" i="11"/>
  <c r="F6" i="11"/>
  <c r="F5" i="11"/>
  <c r="E7" i="11"/>
  <c r="E8" i="11"/>
  <c r="E9" i="11"/>
  <c r="E6" i="11"/>
  <c r="E5" i="11"/>
  <c r="G5" i="11"/>
  <c r="G6" i="11"/>
  <c r="G7" i="11"/>
  <c r="G8" i="11"/>
  <c r="G9" i="11"/>
  <c r="D6" i="11"/>
  <c r="D7" i="11"/>
  <c r="D8" i="11"/>
  <c r="D9" i="11"/>
  <c r="D5" i="11"/>
  <c r="C21" i="21"/>
  <c r="C22" i="21"/>
  <c r="C23" i="21"/>
  <c r="C24" i="21"/>
  <c r="C25" i="21"/>
  <c r="C26" i="21"/>
  <c r="C20" i="21"/>
  <c r="D21" i="21"/>
  <c r="D22" i="21"/>
  <c r="D23" i="21"/>
  <c r="D24" i="21"/>
  <c r="D25" i="21"/>
  <c r="D26" i="21"/>
  <c r="D20" i="21"/>
  <c r="C17" i="21"/>
  <c r="I9" i="23"/>
  <c r="I10" i="23"/>
  <c r="E8" i="23"/>
  <c r="I5" i="11"/>
  <c r="C23" i="7" l="1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trainning</author>
  </authors>
  <commentList>
    <comment ref="G6" authorId="0" shapeId="0" xr:uid="{AFD62D60-2A78-4B43-8C71-6AAEC01596E7}">
      <text>
        <r>
          <rPr>
            <b/>
            <sz val="9"/>
            <color indexed="81"/>
            <rFont val="Segoe UI"/>
            <family val="2"/>
          </rPr>
          <t>trainning:</t>
        </r>
        <r>
          <rPr>
            <sz val="9"/>
            <color indexed="81"/>
            <rFont val="Segoe UI"/>
            <family val="2"/>
          </rPr>
          <t xml:space="preserve">
sempre multiplicar por 24 a Célula que soma horas.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Egildo Ferreira Lira</author>
  </authors>
  <commentList>
    <comment ref="P41" authorId="0" shapeId="0" xr:uid="{2AD2314D-AC8A-4470-9242-0EDD6BFA707E}">
      <text>
        <r>
          <rPr>
            <sz val="9"/>
            <color indexed="81"/>
            <rFont val="Segoe UI"/>
            <family val="2"/>
          </rPr>
          <t>O valor está positivo ou negativo?</t>
        </r>
      </text>
    </comment>
    <comment ref="Q44" authorId="0" shapeId="0" xr:uid="{F5C71D16-92F4-41E9-A0ED-CD7CAEC5348A}">
      <text>
        <r>
          <rPr>
            <sz val="9"/>
            <color indexed="81"/>
            <rFont val="Segoe UI"/>
            <family val="2"/>
          </rPr>
          <t xml:space="preserve">Se a média for maior ou igual a 7 está aprovado
</t>
        </r>
      </text>
    </comment>
    <comment ref="P47" authorId="0" shapeId="0" xr:uid="{F9028F41-D366-4B90-B950-EA168D537F22}">
      <text>
        <r>
          <rPr>
            <sz val="9"/>
            <color indexed="81"/>
            <rFont val="Segoe UI"/>
            <family val="2"/>
          </rPr>
          <t>É menino ou menina?</t>
        </r>
      </text>
    </comment>
    <comment ref="Q47" authorId="0" shapeId="0" xr:uid="{05794CE7-37B1-4FD2-9537-DBCF0BC2AC58}">
      <text>
        <r>
          <rPr>
            <sz val="9"/>
            <color indexed="81"/>
            <rFont val="Segoe UI"/>
            <family val="2"/>
          </rPr>
          <t>É maior ou menor de idade?</t>
        </r>
      </text>
    </comment>
    <comment ref="N50" authorId="0" shapeId="0" xr:uid="{F15EDC91-36AC-4D98-B93F-E20D781A8FC9}">
      <text>
        <r>
          <rPr>
            <sz val="9"/>
            <color indexed="81"/>
            <rFont val="Segoe UI"/>
            <family val="2"/>
          </rPr>
          <t>A data está no passado, no presente ou no futuro?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<sst xmlns="http://schemas.openxmlformats.org/spreadsheetml/2006/main" count="8300" uniqueCount="1531">
  <si>
    <t>MICROSOFT EXCEL</t>
  </si>
  <si>
    <t>MÓDULO AVANÇADO</t>
  </si>
  <si>
    <t>AULA 1</t>
  </si>
  <si>
    <t>FUNÇÃO SE()</t>
  </si>
  <si>
    <t>FACILITADOR EGILDO FERREIRA</t>
  </si>
  <si>
    <t>TRAINNING</t>
  </si>
  <si>
    <t>FUNÇÃO</t>
  </si>
  <si>
    <t>=SE()</t>
  </si>
  <si>
    <t>UTILIZADA PARA GERAR RESULTADO DE TESTE LÓGICO</t>
  </si>
  <si>
    <r>
      <t xml:space="preserve">O </t>
    </r>
    <r>
      <rPr>
        <i/>
        <sz val="9"/>
        <color theme="1"/>
        <rFont val="Calibri"/>
        <family val="2"/>
        <scheme val="minor"/>
      </rPr>
      <t>TESTE LÓGICO</t>
    </r>
    <r>
      <rPr>
        <sz val="9"/>
        <color theme="1"/>
        <rFont val="Calibri"/>
        <family val="2"/>
        <scheme val="minor"/>
      </rPr>
      <t xml:space="preserve"> GERALMENTE É UMA COMPARAÇÃO, E PODE SER ATÉ OUTRA FUNÇÃO</t>
    </r>
  </si>
  <si>
    <t>ESTRUTURA</t>
  </si>
  <si>
    <r>
      <t>=SE(</t>
    </r>
    <r>
      <rPr>
        <b/>
        <i/>
        <sz val="10"/>
        <color theme="4" tint="-0.249977111117893"/>
        <rFont val="Calibri"/>
        <family val="2"/>
        <scheme val="minor"/>
      </rPr>
      <t>TESTE LÓGICO</t>
    </r>
    <r>
      <rPr>
        <b/>
        <i/>
        <sz val="10"/>
        <color theme="1"/>
        <rFont val="Calibri"/>
        <family val="2"/>
        <scheme val="minor"/>
      </rPr>
      <t>;</t>
    </r>
    <r>
      <rPr>
        <b/>
        <i/>
        <sz val="10"/>
        <color rgb="FFFFC000"/>
        <rFont val="Calibri"/>
        <family val="2"/>
        <scheme val="minor"/>
      </rPr>
      <t>AÇÃO SE VERDADEIRO</t>
    </r>
    <r>
      <rPr>
        <b/>
        <i/>
        <sz val="10"/>
        <color theme="1"/>
        <rFont val="Calibri"/>
        <family val="2"/>
        <scheme val="minor"/>
      </rPr>
      <t>;</t>
    </r>
    <r>
      <rPr>
        <b/>
        <i/>
        <sz val="10"/>
        <color theme="9" tint="-0.249977111117893"/>
        <rFont val="Calibri"/>
        <family val="2"/>
        <scheme val="minor"/>
      </rPr>
      <t>AÇÃO SE FALSO</t>
    </r>
    <r>
      <rPr>
        <b/>
        <i/>
        <sz val="10"/>
        <color theme="1"/>
        <rFont val="Calibri"/>
        <family val="2"/>
        <scheme val="minor"/>
      </rPr>
      <t>)</t>
    </r>
  </si>
  <si>
    <r>
      <rPr>
        <i/>
        <sz val="9"/>
        <color theme="1"/>
        <rFont val="Calibri"/>
        <family val="2"/>
        <scheme val="minor"/>
      </rPr>
      <t>AÇÃO SE VERDADEIRO</t>
    </r>
    <r>
      <rPr>
        <sz val="9"/>
        <color theme="1"/>
        <rFont val="Calibri"/>
        <family val="2"/>
        <scheme val="minor"/>
      </rPr>
      <t xml:space="preserve"> É O QUE DEVE ACONTECER SE O TESTE DER POSITIVO. PODE SER UMA FÓRMULA OU FUNÇÃO</t>
    </r>
  </si>
  <si>
    <r>
      <rPr>
        <i/>
        <sz val="9"/>
        <color theme="1"/>
        <rFont val="Calibri"/>
        <family val="2"/>
        <scheme val="minor"/>
      </rPr>
      <t>AÇÃO SE FALSO</t>
    </r>
    <r>
      <rPr>
        <sz val="9"/>
        <color theme="1"/>
        <rFont val="Calibri"/>
        <family val="2"/>
        <scheme val="minor"/>
      </rPr>
      <t xml:space="preserve"> É O QUE DEVE ACONTECER SE O TESTE DER NEGATIVO. PODE SER UMA FÓRMULA OU FUNÇÃO</t>
    </r>
  </si>
  <si>
    <t>EXEMPLO 1</t>
  </si>
  <si>
    <t>EXEMPLO 1.1</t>
  </si>
  <si>
    <t>VERIFICAR QUAIS DOCUMENTOS ESTÃO VENCIDOS.</t>
  </si>
  <si>
    <t xml:space="preserve"> A LÓGICA SERÁ COMPARAR A DATA DE VENCIMENTO COM A DATA DO DIA CORRENTE</t>
  </si>
  <si>
    <t>BOLETO</t>
  </si>
  <si>
    <t>VALOR</t>
  </si>
  <si>
    <t>DT VENCTO</t>
  </si>
  <si>
    <t>HOJE É</t>
  </si>
  <si>
    <t>VENCIDO</t>
  </si>
  <si>
    <t>EXEMPLO 1.2</t>
  </si>
  <si>
    <t>EXEMPLO 2</t>
  </si>
  <si>
    <t>EXEMPLO 2.1</t>
  </si>
  <si>
    <t>CALCULAR DESCONTO PARA COMPRAS A PARTIR DE MIL REAIS</t>
  </si>
  <si>
    <t xml:space="preserve"> A LÓGICA SERÁ COMPARAR O VALOR DA COMPRA</t>
  </si>
  <si>
    <t>QUANDO O PAGAMENTO FOR A VISTA</t>
  </si>
  <si>
    <t>DT PAGTO</t>
  </si>
  <si>
    <t>PEDIDO N</t>
  </si>
  <si>
    <t>DESC -&gt; 5%</t>
  </si>
  <si>
    <t>FORMA PGTO</t>
  </si>
  <si>
    <t xml:space="preserve">PRATIQUE O USO DA FUNÇÃO =SE() ESCREVENDO EXPRESSÕES </t>
  </si>
  <si>
    <t>EXEMPLO 3</t>
  </si>
  <si>
    <t>CALCULAR PORCENTAGEM DE COMISSÃO DE 2% OU 5%</t>
  </si>
  <si>
    <t>ENTRADAS</t>
  </si>
  <si>
    <t>SAÍDAS</t>
  </si>
  <si>
    <t>SALDO</t>
  </si>
  <si>
    <t>SITUAÇÃO</t>
  </si>
  <si>
    <t xml:space="preserve"> A LÓGICA SERÁ COMPARAR O VALOR DE VENDA COM UMA META</t>
  </si>
  <si>
    <t>VENDEDOR</t>
  </si>
  <si>
    <t>META</t>
  </si>
  <si>
    <t>REALIZADO</t>
  </si>
  <si>
    <t>ATINGIU?</t>
  </si>
  <si>
    <t>COMISSÃO</t>
  </si>
  <si>
    <t>PRÊMIO</t>
  </si>
  <si>
    <t>BIM 1</t>
  </si>
  <si>
    <t>BIM 2</t>
  </si>
  <si>
    <t>BIM 3</t>
  </si>
  <si>
    <t>MÉDIA</t>
  </si>
  <si>
    <t>RESULTADO</t>
  </si>
  <si>
    <t>V001</t>
  </si>
  <si>
    <t>V002</t>
  </si>
  <si>
    <t>V003</t>
  </si>
  <si>
    <t>Nome</t>
  </si>
  <si>
    <t>Idade</t>
  </si>
  <si>
    <t>Sexo</t>
  </si>
  <si>
    <t>Gênero</t>
  </si>
  <si>
    <t>V004</t>
  </si>
  <si>
    <t>V005</t>
  </si>
  <si>
    <t>V006</t>
  </si>
  <si>
    <t>Uma Data</t>
  </si>
  <si>
    <t>Está</t>
  </si>
  <si>
    <t>V007</t>
  </si>
  <si>
    <t>=DATADIF()</t>
  </si>
  <si>
    <t>UTILIZADA PARA CALCULAR A DIFERENÇA DETALHADA ENTRE DATAS</t>
  </si>
  <si>
    <t>AS LETRAS UTILIZADAS NO DATADIF SÃO:</t>
  </si>
  <si>
    <t>=DATADIF(DATA_MENOR;DATA_MAIOR;"LETRA")</t>
  </si>
  <si>
    <r>
      <rPr>
        <b/>
        <sz val="9"/>
        <color theme="1"/>
        <rFont val="Calibri"/>
        <family val="2"/>
        <scheme val="minor"/>
      </rPr>
      <t>Y</t>
    </r>
    <r>
      <rPr>
        <sz val="9"/>
        <color theme="1"/>
        <rFont val="Calibri"/>
        <family val="2"/>
        <scheme val="minor"/>
      </rPr>
      <t>=ANO</t>
    </r>
  </si>
  <si>
    <r>
      <rPr>
        <b/>
        <sz val="10"/>
        <color theme="1"/>
        <rFont val="Calibri"/>
        <family val="2"/>
        <scheme val="minor"/>
      </rPr>
      <t>D</t>
    </r>
    <r>
      <rPr>
        <sz val="11"/>
        <color theme="1"/>
        <rFont val="Calibri"/>
        <family val="2"/>
        <scheme val="minor"/>
      </rPr>
      <t>=DIA</t>
    </r>
  </si>
  <si>
    <r>
      <rPr>
        <b/>
        <sz val="10"/>
        <color theme="1"/>
        <rFont val="Calibri"/>
        <family val="2"/>
        <scheme val="minor"/>
      </rPr>
      <t>MD</t>
    </r>
    <r>
      <rPr>
        <sz val="11"/>
        <color theme="1"/>
        <rFont val="Calibri"/>
        <family val="2"/>
        <scheme val="minor"/>
      </rPr>
      <t>=SALDO DE DIAS</t>
    </r>
  </si>
  <si>
    <r>
      <rPr>
        <b/>
        <sz val="9"/>
        <color theme="1"/>
        <rFont val="Calibri"/>
        <family val="2"/>
        <scheme val="minor"/>
      </rPr>
      <t>M</t>
    </r>
    <r>
      <rPr>
        <sz val="9"/>
        <color theme="1"/>
        <rFont val="Calibri"/>
        <family val="2"/>
        <scheme val="minor"/>
      </rPr>
      <t>=MÊS</t>
    </r>
  </si>
  <si>
    <r>
      <rPr>
        <b/>
        <sz val="10"/>
        <color theme="1"/>
        <rFont val="Calibri"/>
        <family val="2"/>
        <scheme val="minor"/>
      </rPr>
      <t>YM</t>
    </r>
    <r>
      <rPr>
        <sz val="11"/>
        <color theme="1"/>
        <rFont val="Calibri"/>
        <family val="2"/>
        <scheme val="minor"/>
      </rPr>
      <t>=SALDO DE MESES</t>
    </r>
  </si>
  <si>
    <t>CALCULAR O TEMPO QUE DUAS PESSOAS ESTÃO CASADAS</t>
  </si>
  <si>
    <t>CALCULAR DIFERENÇA ENTRE IDADES</t>
  </si>
  <si>
    <t>A IDÉIA É COMPARAR A DATA DO CASAMENTO COM A DATA CORRENTE</t>
  </si>
  <si>
    <t>COMPARAR A IDADE DE UMA PESSOA COM A DE OUTRA PESSOA</t>
  </si>
  <si>
    <t>TEMPO PASSADO</t>
  </si>
  <si>
    <t>ANNA NASCEU EM</t>
  </si>
  <si>
    <t>CASARAM EM</t>
  </si>
  <si>
    <t>HOJE É:</t>
  </si>
  <si>
    <t>ANOS</t>
  </si>
  <si>
    <t>MESES</t>
  </si>
  <si>
    <t>DIAS</t>
  </si>
  <si>
    <t>NOEME NASCEU EM</t>
  </si>
  <si>
    <t>(*) DIFERENÇA DE IDADE ENTRE ANNA E NOEME</t>
  </si>
  <si>
    <t>CALCULAR O TEMPO DE TRABALHO DE UM GRUPO DE FUNCIONÁRIOS</t>
  </si>
  <si>
    <t>ALGUNS DELES JÁ FORAM DESLIGADOS DA EMPRESA</t>
  </si>
  <si>
    <t>R.E.</t>
  </si>
  <si>
    <t>ADMISSÃO</t>
  </si>
  <si>
    <t>DEMISSÃO</t>
  </si>
  <si>
    <t>DATA ENTRADA</t>
  </si>
  <si>
    <t>PACIENTE</t>
  </si>
  <si>
    <t>SEXO</t>
  </si>
  <si>
    <t>IDADE</t>
  </si>
  <si>
    <t>LOCALIZAÇÃO</t>
  </si>
  <si>
    <t>TIPO</t>
  </si>
  <si>
    <t>EMPRESA</t>
  </si>
  <si>
    <t>ESPECIALIDADE</t>
  </si>
  <si>
    <t>MÉDICO</t>
  </si>
  <si>
    <t>FATURAMENTO</t>
  </si>
  <si>
    <t>GUSTAVO VASCONCELOS SANTOS</t>
  </si>
  <si>
    <t>M</t>
  </si>
  <si>
    <t>ZONA SUL</t>
  </si>
  <si>
    <t>PARTICULAR</t>
  </si>
  <si>
    <t>CARDIOLOGIA</t>
  </si>
  <si>
    <t>DRA. EUNICE GOMES</t>
  </si>
  <si>
    <t>GLAUDSON ALVES PEREIRA</t>
  </si>
  <si>
    <t>ZONA OESTE</t>
  </si>
  <si>
    <t>ALERGOLOGIA</t>
  </si>
  <si>
    <t>DR. RAFAEL JULIANO</t>
  </si>
  <si>
    <t>REGINALDO FARIAS DE QUEIROS JUNIOR</t>
  </si>
  <si>
    <t>ZONA LESTE</t>
  </si>
  <si>
    <t>DR. GILBERTO GENTIL</t>
  </si>
  <si>
    <t>WANESSA THATTIANY MEDEIROS BARBOSA</t>
  </si>
  <si>
    <t>F</t>
  </si>
  <si>
    <t>FISIOTERAPIA</t>
  </si>
  <si>
    <t>DRA. ELIANA LISBOA</t>
  </si>
  <si>
    <t>LUCAS GOMES LEAL</t>
  </si>
  <si>
    <t>CONVÊNIO</t>
  </si>
  <si>
    <t>AMIL</t>
  </si>
  <si>
    <t>EMANUELLY FELIX DE LUCENA</t>
  </si>
  <si>
    <t>GOLDEN CROSS</t>
  </si>
  <si>
    <t>ANDREA MORAIS TAVARES MENDONCA</t>
  </si>
  <si>
    <t>UNIMED</t>
  </si>
  <si>
    <t>DERMATOLOGIA</t>
  </si>
  <si>
    <t>ANA PAULA DA SILVA FERNANDES</t>
  </si>
  <si>
    <t>NEUROLOGIA</t>
  </si>
  <si>
    <t>DR. RUBENS MIERA</t>
  </si>
  <si>
    <t>ADRIANA MITKIEWICZ BAHMED</t>
  </si>
  <si>
    <t>ANGIOLOGIA</t>
  </si>
  <si>
    <t>SINTHIA FRANCIELLY VICENTE DE ANDRADE</t>
  </si>
  <si>
    <t>FELIPE BEZERRA SALES DA SILVA</t>
  </si>
  <si>
    <t>RAFAELA ALBUQUERQUE FIRES</t>
  </si>
  <si>
    <t>CAIO FERREIRA VENTURA</t>
  </si>
  <si>
    <t>GABRIELA SILVA DE QUEIROZ</t>
  </si>
  <si>
    <t>PEDIATRIA</t>
  </si>
  <si>
    <t>JOSE WELLINGTON DE BARROS CORDEIRO</t>
  </si>
  <si>
    <t>ZONA NORTE</t>
  </si>
  <si>
    <t>ANTONIO COSTA DOS SANTOS JUNIOR</t>
  </si>
  <si>
    <t>EMANUELA SILVEIRA PEREIRA</t>
  </si>
  <si>
    <t>SULAMÉRICA</t>
  </si>
  <si>
    <t>DANIEL PEREIRA DO NASCIMENTO</t>
  </si>
  <si>
    <t>JULIANA DE MELO FRANCO MURARI</t>
  </si>
  <si>
    <t>ENDOCRINOLOGIA</t>
  </si>
  <si>
    <t>GABRIELLE DUARTE LYRA</t>
  </si>
  <si>
    <t>JARMILA KEMIAC</t>
  </si>
  <si>
    <t>WISLLEY GEAN DA SILVA COSTA</t>
  </si>
  <si>
    <t>ROBERIO LEAO DE SOUZA</t>
  </si>
  <si>
    <t>FLORISVALDO TAVARES DA SILVA NETO</t>
  </si>
  <si>
    <t>MONICA TRIBST SILVEIRA</t>
  </si>
  <si>
    <t>JOSE KLEBER PALMEIRA DA SILVA</t>
  </si>
  <si>
    <t>ELOISA ALMEIDA DE SOUSA</t>
  </si>
  <si>
    <t>ANNA MYLENA BATISTA DE OLIVEIRA</t>
  </si>
  <si>
    <t>MARIA ELAYNE RIBEIRO PEREIRA</t>
  </si>
  <si>
    <t>HAQUILA RANIELLI BATISTA DO NASCIMENTO</t>
  </si>
  <si>
    <t>HELENA DOLABELA LUCIANO PEREIRA</t>
  </si>
  <si>
    <t>LEONOR CIERDA TORRES MACIEL</t>
  </si>
  <si>
    <t>DRA. NEIDE BONANI</t>
  </si>
  <si>
    <t>VALDILENE REGIS DA SILVA</t>
  </si>
  <si>
    <t>FERNANDA LARISSA OLIVEIRA FERNANDES</t>
  </si>
  <si>
    <t>ANIELY MAGDA SABINO DOS SANTOS</t>
  </si>
  <si>
    <t>EMMANUEL FARIAS DANTAS</t>
  </si>
  <si>
    <t>JULIO CESAR DE OLIVEIRA</t>
  </si>
  <si>
    <t>FERNANDA CRISTINA DE PAULA LIMA</t>
  </si>
  <si>
    <t>MICKAELLY DE LUCENA MAMEDE</t>
  </si>
  <si>
    <t>MARIA JOSE MENDES DA SILVA</t>
  </si>
  <si>
    <t>JOSE AUGUSTO MENEZES AMANCIO</t>
  </si>
  <si>
    <t>KAIQUE ALAN HENRIQUES DE BRITO</t>
  </si>
  <si>
    <t>HICARO SALES DE OLIVEIRA TORRES</t>
  </si>
  <si>
    <t>ROMARIO DA SILVA SANTOS</t>
  </si>
  <si>
    <t>ALINNE MIRLANIA SABINO DE ARAUJO</t>
  </si>
  <si>
    <t>JOSE IZAIAS ALVES DE OLIVEIRA</t>
  </si>
  <si>
    <t>DANIELLE PEREIRA PINTO</t>
  </si>
  <si>
    <t>EMANUEL GUEDES DOS SANTOS</t>
  </si>
  <si>
    <t>PRISCILA SILVA ABRANTES</t>
  </si>
  <si>
    <t>FERNANDA PATRICIA SILVA ALBUQUERQUE</t>
  </si>
  <si>
    <t>MARIA DA CONCEICAO DOS SANTOS RAMOS</t>
  </si>
  <si>
    <t>JOYCE CAROLYNE RIBEIRO DE HOLANDA</t>
  </si>
  <si>
    <t>ANA MARIA DE CARVALHO BOTELHO</t>
  </si>
  <si>
    <t>JURACY DOS SANTOS SILVA</t>
  </si>
  <si>
    <t>PAULO FILIPE ALVES DE VASCONCELOS</t>
  </si>
  <si>
    <t>ADIRLAINE SUYENE DA TERRA CALDEIRA VAZ</t>
  </si>
  <si>
    <t>RAISLA LIZANDRA ARAUJO VIEIRA</t>
  </si>
  <si>
    <t>LUCIA DE FATIMA CORREA</t>
  </si>
  <si>
    <t>EULEMAR ANTONIO DA SILVA AMORIM</t>
  </si>
  <si>
    <t>GLICIO MARES DA SILVA</t>
  </si>
  <si>
    <t>ESTEPHANNIE FERNANDA DE ANDRADE</t>
  </si>
  <si>
    <t>JUCIELY TARGINO DOS SANTOS</t>
  </si>
  <si>
    <t>JOSEILTON LIMA CAMPOS</t>
  </si>
  <si>
    <t>FERNANDO ANTONIO CAMARGOS VAZ</t>
  </si>
  <si>
    <t>ALBERTO DE NORONHA NOBREGA</t>
  </si>
  <si>
    <t>SERGIO VITALINO BRESCIA FONSECA</t>
  </si>
  <si>
    <t>MACEILDO MANOEL DE BRITO</t>
  </si>
  <si>
    <t>JACIMEY TAMYRES MACENA DE OLIVEIRA</t>
  </si>
  <si>
    <t>KAREN ALVES XAVIER</t>
  </si>
  <si>
    <t>REINALDO PEIXOTO MARINHO</t>
  </si>
  <si>
    <t>EDESIO SANTOS DE LIMA</t>
  </si>
  <si>
    <t>ALESSANDRA RODRIGUEZ DOS REIS</t>
  </si>
  <si>
    <t>ALANA BIANCA BARBOSA DE LIMA</t>
  </si>
  <si>
    <t>CLAYTON OLIVEIRA NASCIMENTO</t>
  </si>
  <si>
    <t>EDUARDA DUARTE DOS SANTOS</t>
  </si>
  <si>
    <t>JAYSA DA SILVA MEIRELES</t>
  </si>
  <si>
    <t>IONE APARECIDA AZEVEDO MENDES</t>
  </si>
  <si>
    <t>WELLITA NASCIMENTO BRITO</t>
  </si>
  <si>
    <t>SAMARA FELIPE DE OLIVEIRA</t>
  </si>
  <si>
    <t>AURENICE BEZERRA DE OLIVEIRA</t>
  </si>
  <si>
    <t>JACKELINE CUNHA DE AGUIAR</t>
  </si>
  <si>
    <t>HOZANA TARGINO RUFINO</t>
  </si>
  <si>
    <t>RAYSSA GLAUCIA FREITAS DOS SANTOS</t>
  </si>
  <si>
    <t>EDNEY ANDRE ALVES DINIZ</t>
  </si>
  <si>
    <t>JACQUELINE TAVARES NUNES</t>
  </si>
  <si>
    <t>ALUISIO MARQUES DA SILVA</t>
  </si>
  <si>
    <t>MAYONARA JUSTINO DE SOUZA</t>
  </si>
  <si>
    <t>MARIANA PEREIRA DOS SANTOS</t>
  </si>
  <si>
    <t>GLEISON DA FONSECA ALVES</t>
  </si>
  <si>
    <t>RENATO CASSIO DEL GAUDIO DUARTE</t>
  </si>
  <si>
    <t>SUZIE HUDSON NASCIMENTO</t>
  </si>
  <si>
    <t>MARCELO DE ARAUJO TORREAO</t>
  </si>
  <si>
    <t>SAMUEL NOGUEIRA DA SILVA</t>
  </si>
  <si>
    <t>EFIGENIA ROSA FAUSTINO</t>
  </si>
  <si>
    <t>RONALDO CAMPOS DE MENEZES NETO</t>
  </si>
  <si>
    <t>KATIA BARROS DE SOUSA</t>
  </si>
  <si>
    <t>GISLAINE MUNIZ DE LIMA</t>
  </si>
  <si>
    <t>NAYARA PEREIRA LIMAO</t>
  </si>
  <si>
    <t>THAYANE MAYTCHELE VERISSIMO SANTOS</t>
  </si>
  <si>
    <t>MARCELO JOSE DA SILVA</t>
  </si>
  <si>
    <t>GENILSON GALDINO FERNANDES</t>
  </si>
  <si>
    <t>DIEGO VIEIRA ROCHA</t>
  </si>
  <si>
    <t>IVAN LESTE RIBEIRO</t>
  </si>
  <si>
    <t>JORDANIA CARNEIRO DA SILVA</t>
  </si>
  <si>
    <t>GIVANILDO FREIRE DA COSTA</t>
  </si>
  <si>
    <t>DALILA DE SOUSA ANDRADE</t>
  </si>
  <si>
    <t>KALLINNE RODRIGUES DE MELO</t>
  </si>
  <si>
    <t>NATALIA DO CARMO GOMES</t>
  </si>
  <si>
    <t>EDUARDO FERNANDES MACEDO</t>
  </si>
  <si>
    <t>TAYLLA DA SILVA CONTAGEM</t>
  </si>
  <si>
    <t>DJULYA FRANCIELLE DO REGO OLIVEIRA</t>
  </si>
  <si>
    <t>VICTOR EMANUEL FONSECA DE CARVALHO</t>
  </si>
  <si>
    <t>WESLEY SILVANO DE OLIVEIRA SOUZA</t>
  </si>
  <si>
    <t>HELEN JESANA VIEIRA DINIZ</t>
  </si>
  <si>
    <t>KARLA DANIELLE SCHORDER STALSCHUS</t>
  </si>
  <si>
    <t>GILBERTO VIEIRA DA SILVA</t>
  </si>
  <si>
    <t>ALEFF DIEGO SOBRAL MOURA</t>
  </si>
  <si>
    <t>MILLANE GLEICE DA SILVA</t>
  </si>
  <si>
    <t>DEBORA FERNANDA SANTOS DANTAS</t>
  </si>
  <si>
    <t>IVAILDA MARQUES SILVA</t>
  </si>
  <si>
    <t>CLEBSON FERREIRA DA SILVA</t>
  </si>
  <si>
    <t>RICARDO JOSAFAINER EVANGELISTA</t>
  </si>
  <si>
    <t>IRENILDA FINIZOLA DO NASCIMENTO SILVA</t>
  </si>
  <si>
    <t>IVAN JAVIER PEREIRA MARTINEZ</t>
  </si>
  <si>
    <t>RENAN DANTAS AIRES GUIMARAES</t>
  </si>
  <si>
    <t>YURY OURIQUES RODRIGUES</t>
  </si>
  <si>
    <t>MM</t>
  </si>
  <si>
    <t>ROSANGELA CRISTINA DOS SANTOS DE OLIVE</t>
  </si>
  <si>
    <t>LUCAS FELIPE FARIAS LIMA FELIX DE FIGUEIREDO</t>
  </si>
  <si>
    <t>ELISVALDO LOPES CABRAL</t>
  </si>
  <si>
    <t>ANDREIA MAYANNA DOS SANTOS PAIVA</t>
  </si>
  <si>
    <t>TATIANA SILVA REGIS</t>
  </si>
  <si>
    <t>RAIFF MARQUES DO NASCIMENTO</t>
  </si>
  <si>
    <t>LUANA MICHELE CHAGAS</t>
  </si>
  <si>
    <t>LILIAN BAMBIRRA DE ASSIS</t>
  </si>
  <si>
    <t>LARISSA MONIQUE DE SOUSA RODRIGUES</t>
  </si>
  <si>
    <t>HELDER VICTOR PEREIRA BATISTA</t>
  </si>
  <si>
    <t>MARGARETE DOLABELA FANTAGUZZI</t>
  </si>
  <si>
    <t>VIVIANNE EVELYN DO NASCIMENTO ALVES</t>
  </si>
  <si>
    <t>HEVERTON RAMON DE CARVALHO VIANA</t>
  </si>
  <si>
    <t>SORAYA FERNANDES MONTEIRO</t>
  </si>
  <si>
    <t>YEDSON TADEU OLIVEIRA DA NOBREGA</t>
  </si>
  <si>
    <t>HELAINE CASSIA BELLONI DA SILVA</t>
  </si>
  <si>
    <t>JEFFERSON PEREIRA MAURICIO DE BARROS</t>
  </si>
  <si>
    <t>RICARDO PIMENTA DE OLIVEIRA</t>
  </si>
  <si>
    <t>MAYARA MARTINS LINO</t>
  </si>
  <si>
    <t>ARLEM FERREIRA PERDIGAO</t>
  </si>
  <si>
    <t>ALLAN DE OLIVEIRA ANDRADE</t>
  </si>
  <si>
    <t>PATRICIA FELIX DA SILVA COSTA</t>
  </si>
  <si>
    <t>MAURICIO NUNES CRUZ</t>
  </si>
  <si>
    <t>FERNANDO DE MELO NOGUEIRA</t>
  </si>
  <si>
    <t>OMAR BARROSO CASTANHEIRA</t>
  </si>
  <si>
    <t>EUDES WASHINGTON ALVES</t>
  </si>
  <si>
    <t>JOSE WILLAMS PEREIRA ALVES</t>
  </si>
  <si>
    <t>ANALINE DA SILVA LEITE</t>
  </si>
  <si>
    <t>RAYANNE TAVARES FERREIRA</t>
  </si>
  <si>
    <t>VITOR GONZAGA  PENA</t>
  </si>
  <si>
    <t>MARILIA CALDAS MOREIRA</t>
  </si>
  <si>
    <t>CAMILA DINIZ NOBREGA</t>
  </si>
  <si>
    <t>MAX SANDRO FRANCELINO DE SOUZA</t>
  </si>
  <si>
    <t>JANAISE RODRIGUES DA SILVA</t>
  </si>
  <si>
    <t>CLAUDIO GOMES DOS SANTOS</t>
  </si>
  <si>
    <t>HEITOR VASCONCELOS CORREA DIAS</t>
  </si>
  <si>
    <t>ERICA MAGALHAES FRATTARI</t>
  </si>
  <si>
    <t>ANGELA DA SILVA SANTOS</t>
  </si>
  <si>
    <t>ALAN DAVID GUEDES DE MORAIS</t>
  </si>
  <si>
    <t>JOSE AIRTON C. VASCONCELOS JUNIOR</t>
  </si>
  <si>
    <t>RENATO RODRIGUES MARTINS</t>
  </si>
  <si>
    <t>ERLICH DE CASTRO BARRA</t>
  </si>
  <si>
    <t>LARISSA CAVALCANTE ALMEIDA</t>
  </si>
  <si>
    <t>THAYSE GONZAGA GOMES</t>
  </si>
  <si>
    <t>TANIA PATRICIA COSTA</t>
  </si>
  <si>
    <t>ROSANGELA SOUZA DA SILVA</t>
  </si>
  <si>
    <t>DINORA PEREIRA DE OLIVEIRA</t>
  </si>
  <si>
    <t>BELIZIA LUANA SANTOS PEREIRA DE FRANCA</t>
  </si>
  <si>
    <t>WANESSA GOMES DE CASTRO</t>
  </si>
  <si>
    <t>MARA MICHELLY CASTRO FREIRE</t>
  </si>
  <si>
    <t>GABRIEL VIEIRA HOLANDA DE ALMEIDA</t>
  </si>
  <si>
    <t>ANA LUIZA DE QUEIROZ GOMES</t>
  </si>
  <si>
    <t>JOCELIO HENRIQUES DE MELO</t>
  </si>
  <si>
    <t>DANIELA SANTOS CUNHA</t>
  </si>
  <si>
    <t>JONAS MONTEIRO SILVEIRA</t>
  </si>
  <si>
    <t>JAMYLLE MARIA SANTOS DE MEDEIROS</t>
  </si>
  <si>
    <t>CARLOS ANTONIO LACERDA</t>
  </si>
  <si>
    <t>CLEYSON CASSIMIRO DE SOUZA</t>
  </si>
  <si>
    <t>ANTONIO FERNANDO DOS SANTOS NETO</t>
  </si>
  <si>
    <t>SIMOES DIOGO DE LIMA</t>
  </si>
  <si>
    <t>ALANE KELLY DE LIMA</t>
  </si>
  <si>
    <t>FELIPE FARIAS DE AZEVEDO</t>
  </si>
  <si>
    <t>JOSE AUGUSTO DA SILVA</t>
  </si>
  <si>
    <t>MARCUS PAULO SALES COSTA</t>
  </si>
  <si>
    <t>MARIA TERESA SILVA SOUZA</t>
  </si>
  <si>
    <t>HELTER YORDAN ALVES DA COSTA</t>
  </si>
  <si>
    <t>EMMANUEL BRITO BATISTA</t>
  </si>
  <si>
    <t>LUCIENE MARINHO DE BARROS</t>
  </si>
  <si>
    <t>MIRTES CLEIA GONCALVES DE SOUTO</t>
  </si>
  <si>
    <t>SILVIA PERAZZONI</t>
  </si>
  <si>
    <t>LETCIA FARIAS WANDERLEY</t>
  </si>
  <si>
    <t>CACIANO BARBOSA MIGUEL</t>
  </si>
  <si>
    <t>ALINE ALVES GODINHO</t>
  </si>
  <si>
    <t>GEANECIA MENDES DE FARIAS</t>
  </si>
  <si>
    <t>ANDERSON FRANCIS DEODATO DO NASCIMENTO</t>
  </si>
  <si>
    <t>ANDRE LUIZ MAIA E SOUZA</t>
  </si>
  <si>
    <t>JOAO LOPES DA SILVA NETO</t>
  </si>
  <si>
    <t>JEFFERSON PERES DA SILVA</t>
  </si>
  <si>
    <t>JOSE ELISIO RODRIGUES PINTO JUNIOR</t>
  </si>
  <si>
    <t>IVAN DORNELA GOULART</t>
  </si>
  <si>
    <t>EMMANUELLE DE ANDRADE SILVA BATISTA</t>
  </si>
  <si>
    <t>MARIANA GAIAO CALIXTO</t>
  </si>
  <si>
    <t>JANIELI SILVESTRE DA SILVA</t>
  </si>
  <si>
    <t>FABIOLA DA CRUZ MARTINS</t>
  </si>
  <si>
    <t>RONNY VICTOR GOMES LIMA</t>
  </si>
  <si>
    <t>DAYANE ANGELO DA SILVA</t>
  </si>
  <si>
    <t>MARIA ENAKELLY SANTOS TRINDADE</t>
  </si>
  <si>
    <t>ADJEANE FARIAS DA SILVA</t>
  </si>
  <si>
    <t>PAULINA HELENA LIMA ZAMBELLI</t>
  </si>
  <si>
    <t>CRISTIANE VIEIRA FALCAO</t>
  </si>
  <si>
    <t>JOSEMAR ALVES DE CARVALHO</t>
  </si>
  <si>
    <t>AMANDA ALVES LINO</t>
  </si>
  <si>
    <t>AGNALDO MOTA OLIVEIRA</t>
  </si>
  <si>
    <t>UBALDO DUTRA DE ARAUJO</t>
  </si>
  <si>
    <t>THAYSA HAVAY BELO DA SILVA</t>
  </si>
  <si>
    <t>CLARISSA DE MORAIS ARAUJO</t>
  </si>
  <si>
    <t>LEANDRA CACIANO DA CRUZ</t>
  </si>
  <si>
    <t>ANTONIO DANILO DOS SANTOS FRANCELINO</t>
  </si>
  <si>
    <t>FRANCISCO FERREIRA DE MESQUITA</t>
  </si>
  <si>
    <t>WANESSA CORDEIRO DE SOUSA</t>
  </si>
  <si>
    <t>ERIKA GONCALVES SILVA SANTOS</t>
  </si>
  <si>
    <t>NATHALYA CARVALHO FARIAS</t>
  </si>
  <si>
    <t>DANIELLA KARLA DE OLIVEIRA GONCALVES</t>
  </si>
  <si>
    <t>ANA MIKARLLA PEREIRA DA COSTA</t>
  </si>
  <si>
    <t>KLEYTON CRISTOVAO OLIVEIRA ARAUJO</t>
  </si>
  <si>
    <t>RAFAEL FERREIRA FERNANDES</t>
  </si>
  <si>
    <t>TAIS RAMOS GOMES DA SILVA</t>
  </si>
  <si>
    <t>MARIANA DUTRA BEZERRA</t>
  </si>
  <si>
    <t>MARCELA CAVALCANTE NASCIMENTO</t>
  </si>
  <si>
    <t>MARIA CONCEICAO GEOVANA PEREIRA DA SILVA</t>
  </si>
  <si>
    <t>KAIQUE MUNIZ ALVARES DE LIMA</t>
  </si>
  <si>
    <t>VIRGINIA NUNES COELHO</t>
  </si>
  <si>
    <t>BRUNA CAROLLINE HONORIO LOPES</t>
  </si>
  <si>
    <t>ILCA NADJANI SOUZA MEDEIROS</t>
  </si>
  <si>
    <t>SALMY RODRIGUES DE OLIVEIRA JUNIOR</t>
  </si>
  <si>
    <t>DANIELA APARECIDA RODRIGUES PALMA</t>
  </si>
  <si>
    <t>FABIANA LUCIA COSTA SANTOS</t>
  </si>
  <si>
    <t>INGRYD SONALLE NASCIMENTO CARNEIRO</t>
  </si>
  <si>
    <t>MARIA JOSE LOPES ARAUJO</t>
  </si>
  <si>
    <t>FERNANDA MARIA GONCALVES FIGUEIREDO</t>
  </si>
  <si>
    <t>MARCIA MICHELLE DIONIZIO DA SILVA</t>
  </si>
  <si>
    <t>MARTINHO VIEIRA DANTAS FILHO</t>
  </si>
  <si>
    <t>JOSIELIO PEREIRA MARINHO</t>
  </si>
  <si>
    <t>JOSE ALBERTO ARAUJO DE QUEIROZ</t>
  </si>
  <si>
    <t>HELEN LAN KWAI WAH</t>
  </si>
  <si>
    <t>SANNY COSTA RODRIGUES</t>
  </si>
  <si>
    <t>ANDRE TERENZI ANDRADE PINTO</t>
  </si>
  <si>
    <t>FRANCISCO JOSE BASILIO ALVES</t>
  </si>
  <si>
    <t>CLAUDIA MEDEIROS ALCANTARA</t>
  </si>
  <si>
    <t>IGOR RANGEL MIRANDA DE OLIVEIRA SANTOS</t>
  </si>
  <si>
    <t>BENALDO BELCHIOR DE OLIVEIRA</t>
  </si>
  <si>
    <t>NEUZA DA SILVA GOMES</t>
  </si>
  <si>
    <t>LAYANNE RODRIGUES DA SILVA</t>
  </si>
  <si>
    <t>ROSEANE FIRMO DA SILVA ALVES</t>
  </si>
  <si>
    <t>BRUNA KAREN DE SOUSA COSTA</t>
  </si>
  <si>
    <t>THIAGO TRAJANO DE ALMEIDA</t>
  </si>
  <si>
    <t>KELVIN LEITE MOURA</t>
  </si>
  <si>
    <t>DIOGO BATISTA DE LIMA</t>
  </si>
  <si>
    <t>FERNANDA CIBELE DE SOUZA NEVES</t>
  </si>
  <si>
    <t>JEFFERSON HIGINO DA SILVA</t>
  </si>
  <si>
    <t>NATALIA ERIKA LAURENTINO BARBOSA</t>
  </si>
  <si>
    <t>BRUNO ARAUJO DE BARROS</t>
  </si>
  <si>
    <t>ANE SANTOS DUARTE</t>
  </si>
  <si>
    <t>PABLO HENRIQUE RODRIGUES JARUZO</t>
  </si>
  <si>
    <t>JUDA MAMEDE FERNANDES</t>
  </si>
  <si>
    <t>MARIA LUCIENE CARDOSO DE MOURA</t>
  </si>
  <si>
    <t>FELIPE PAJAU SOARES</t>
  </si>
  <si>
    <t>THAUNE CRISTINA SILVA DE ALMEIDA</t>
  </si>
  <si>
    <t>MASENILDO SOARES DA SILVA</t>
  </si>
  <si>
    <t>FLAVIA HELENE USIGNOLO</t>
  </si>
  <si>
    <t>JANIELLY FERNANDES MATIAS</t>
  </si>
  <si>
    <t>CARLOS EDUARDO DA SILVA</t>
  </si>
  <si>
    <t>ANDREA HELOISA DA SILVA SOARES</t>
  </si>
  <si>
    <t>GABRIELA DE MEDEIROS LOPES MARTINS</t>
  </si>
  <si>
    <t>OZEAS FLORENTINO DE LIMA FILHO</t>
  </si>
  <si>
    <t>AMANDA DA NOBREGA MEDEIROS</t>
  </si>
  <si>
    <t>PAULO DEYVITY RODRIGUES DE SOUSA</t>
  </si>
  <si>
    <t>RENAN AGUIAR LEAL</t>
  </si>
  <si>
    <t>RODRIGO PATRICIO DA SILVA</t>
  </si>
  <si>
    <t>APARECIDA DO DESTERRO CHAGAS COSTA BRAZ</t>
  </si>
  <si>
    <t>MARIA JOSE LAGE GONCALVES</t>
  </si>
  <si>
    <t>RAIANE MARIA MACEDO CALAFANGE</t>
  </si>
  <si>
    <t>ARTHUR RAMOS VIEIRA</t>
  </si>
  <si>
    <t>MARIA EUNICE CABRAL DE LUNA VICTOR</t>
  </si>
  <si>
    <t>TAUANA ARIEL RIBEIRO ALBUQUERQUE</t>
  </si>
  <si>
    <t>MATHEUS DANTAS DE LUCENA</t>
  </si>
  <si>
    <t>FABIANA DOS SANTOS CORDEIRO</t>
  </si>
  <si>
    <t>ROGERIO BRAGA PINTO</t>
  </si>
  <si>
    <t>DAVI AZEVEDO DA SILVA</t>
  </si>
  <si>
    <t>CAMILA CRUZ MACIEL</t>
  </si>
  <si>
    <t>NATALIA SANTOS AQUINO DE ARAUJO</t>
  </si>
  <si>
    <t>MARCELO LEANDRO LIMA</t>
  </si>
  <si>
    <t>JUPIRA SANTOS</t>
  </si>
  <si>
    <t>JOSOALDO GOMES DA SILVA</t>
  </si>
  <si>
    <t>CLARISSA SANTOS FREIRE</t>
  </si>
  <si>
    <t>LIVIA ROCHA DANTAS</t>
  </si>
  <si>
    <t>ELIZABETH REGINA GOMES FRANQUEIRA</t>
  </si>
  <si>
    <t>PATRICK SILVA MARQUES</t>
  </si>
  <si>
    <t>VIVIANE DE OLIVEIRA ANDRADE</t>
  </si>
  <si>
    <t>ALEXANDRE BARBOSA ALBANEZ</t>
  </si>
  <si>
    <t>JOSE ROBERTO PEREIRA DA SILVA</t>
  </si>
  <si>
    <t>EWERTON FELIX DA SILVA</t>
  </si>
  <si>
    <t>KAROLLYNE JULIA DE ALUSTAU BELARMINO</t>
  </si>
  <si>
    <t>HUDSLAYNE FERREIRA CARVALHO DOS SANTOS</t>
  </si>
  <si>
    <t>FRANCIELLY GUEDES DOS SANTOS</t>
  </si>
  <si>
    <t>ANDREA LACERDA DE MORAIS</t>
  </si>
  <si>
    <t>CLARISSA MARIA CARDOSO GUIMARAES</t>
  </si>
  <si>
    <t>REINALDO ANTONIO DE CASTRO FERREIRA</t>
  </si>
  <si>
    <t>SABRINA FERNANDES SANTIAGO VICTOR</t>
  </si>
  <si>
    <t>DOUGLAS MEDEIROS DE ARAUJO</t>
  </si>
  <si>
    <t>FLAVIA DANTAS ARANHA</t>
  </si>
  <si>
    <t>ADRIELY AZEVEDO DO NASCIMENTO</t>
  </si>
  <si>
    <t>LUCIA HELENA CORNELIO LLOYD</t>
  </si>
  <si>
    <t>IVANEIDE MONTEIRO ALVES</t>
  </si>
  <si>
    <t>GILMAX FERREIRA OLIVEIRA</t>
  </si>
  <si>
    <t>THIAGO DA SILVA BRANDAO</t>
  </si>
  <si>
    <t>GENILSON AVELINO DOS SANTOS</t>
  </si>
  <si>
    <t>LEANDRO DE OLIVEIRA</t>
  </si>
  <si>
    <t>JOSE GONCALVES JUNIOR</t>
  </si>
  <si>
    <t>GAWBBER RUANN SANTOS DE PONTES</t>
  </si>
  <si>
    <t>ICARO HENRIQUE SOARES DANTAS</t>
  </si>
  <si>
    <t>NEMESIO LUCAS JUNIOR</t>
  </si>
  <si>
    <t>RAISSA JOSEFA PEREIRA DE MOURA</t>
  </si>
  <si>
    <t>MARLUCE SOARES DE ALMEIDA</t>
  </si>
  <si>
    <t>IVAIR APARECIDO DIAS</t>
  </si>
  <si>
    <t>DELMA RUFINO DA SILVA</t>
  </si>
  <si>
    <t>ELIZANGELA GOMES FERNANDES</t>
  </si>
  <si>
    <t>ISRAEL LUIZ DE MACEDO</t>
  </si>
  <si>
    <t>JOSE TARCISIO SANTIAGO JUNIOR</t>
  </si>
  <si>
    <t>SILVANA RAQUEL MENDES DE ALMEIDA</t>
  </si>
  <si>
    <t>ALISSOM EUGENIO ROCHA DE CASTRO</t>
  </si>
  <si>
    <t>MARIA ERICELMA GOMES LINS</t>
  </si>
  <si>
    <t>MARIA DAS DORES F. DAMASCENO RESENDE</t>
  </si>
  <si>
    <t>AMONN MATIAS GUEDES</t>
  </si>
  <si>
    <t>CINTIA ALVINO DA LUZ PEREIRA</t>
  </si>
  <si>
    <t>LUIS CLAUDIO PEREIRA DE ARAUJO FILHO</t>
  </si>
  <si>
    <t>ERIC DA COSTA MUNIZ</t>
  </si>
  <si>
    <t>SEVERINO GOMES DE SOUTO REGO</t>
  </si>
  <si>
    <t>KATIANE DA SILVA BORGES</t>
  </si>
  <si>
    <t>ALLAN DE OLIVEIRA FALCAO DA SILVA</t>
  </si>
  <si>
    <t>ANDREIA MARIA DE MEDEIROS</t>
  </si>
  <si>
    <t>PAULA RUFINA SANTANA DE CASTRO</t>
  </si>
  <si>
    <t>WESLLEY DARWIN BORGES DE FARIAS</t>
  </si>
  <si>
    <t>TEREZA KARLA VIEIRA LOPES DA COSTA</t>
  </si>
  <si>
    <t>ANDREIA MICHELLE DA SILVA SOUZA</t>
  </si>
  <si>
    <t>SILVANIA CORDEIRO NEGREIROS</t>
  </si>
  <si>
    <t>LUCAS EMMANUEL GOMES CANDIDO</t>
  </si>
  <si>
    <t>TASSIA RAPHAELLE GOMES BARBOSA</t>
  </si>
  <si>
    <t>ILKA ALVES SANTANA</t>
  </si>
  <si>
    <t>GABRIEL ROSA DE FREITAS</t>
  </si>
  <si>
    <t>HILLI SIMONE MIRANDA COSTA OLIVEIRA</t>
  </si>
  <si>
    <t>SERGIO DANTAS SILVA</t>
  </si>
  <si>
    <t>THIAGO RODRIGUES ALEXANDRIA LEITE</t>
  </si>
  <si>
    <t>JOSE ARAGAO AVELINO DE SANTANA</t>
  </si>
  <si>
    <t>MARIA LUISA DE CARVALHO MARTINS</t>
  </si>
  <si>
    <t>DIELE EMELE PONTES CARVALHO DE LIMA</t>
  </si>
  <si>
    <t>MARCIO RAMOS DA SILVA</t>
  </si>
  <si>
    <t>PAULO DAVID FELIX DOS SANTOS</t>
  </si>
  <si>
    <t>IZABEL DA SILVA RODRIGUES</t>
  </si>
  <si>
    <t>WEGNA  IANNI SOUZA HENRIQUES</t>
  </si>
  <si>
    <t>GILDERLANDIA NUNES DA SILVA</t>
  </si>
  <si>
    <t>ITALO DE MACEDO BERNARDINO</t>
  </si>
  <si>
    <t>GUILHERME MENDONCA AMARO</t>
  </si>
  <si>
    <t>FABIOLA VILELA TEIXEIRA</t>
  </si>
  <si>
    <t>EVANIA GUEDES DE ALMEIDA</t>
  </si>
  <si>
    <t>RENATA XAVIER DA COSTA</t>
  </si>
  <si>
    <t>ROGERIO CAMARGOS FABEL</t>
  </si>
  <si>
    <t>SARA RAYMARA SILVA SABINO</t>
  </si>
  <si>
    <t>DEBORAH ALCANTARA MELO SUASSUNA DUTRA</t>
  </si>
  <si>
    <t>HELOISA HELENA CUNHA GOIATA</t>
  </si>
  <si>
    <t>RAFAELLA SALES MENDES</t>
  </si>
  <si>
    <t>GUILHERME CAMPOS DOS SANTOS</t>
  </si>
  <si>
    <t>PAULO VITAMAR DANTAS</t>
  </si>
  <si>
    <t>CRISTIANE CAMPOS PASCHOALINI LEHMAN</t>
  </si>
  <si>
    <t>MARIA CECILIA ALVIM GUIMARAES</t>
  </si>
  <si>
    <t>LUCAS CASIMIRO SILVA</t>
  </si>
  <si>
    <t>FERNANDA BOREL DE MENEZES</t>
  </si>
  <si>
    <t>ROBERTO ANTONIO DA SILVA</t>
  </si>
  <si>
    <t>KELVIS DE BRITO FREITAS</t>
  </si>
  <si>
    <t>WANDERSON BRUNO DE OLIVEIRA</t>
  </si>
  <si>
    <t>RICARDO ALVES TEIXEIRA DE SIQUEIRA</t>
  </si>
  <si>
    <t>RUSLAND FERNANDES DE SOUSA</t>
  </si>
  <si>
    <t>DANILO TORRES RIBEIRO</t>
  </si>
  <si>
    <t>PEDRO MAXUEL PAULINO CABRAL</t>
  </si>
  <si>
    <t>MAURILIO NABAK JUNIOR</t>
  </si>
  <si>
    <t>CLAUDIA ALVES ALMEIDA</t>
  </si>
  <si>
    <t>KATIA LYANDRA ALVES DE SOUZA</t>
  </si>
  <si>
    <t>HELTON REIS DE CASTRO</t>
  </si>
  <si>
    <t>VERONICA BANDEIRA PATRICIO</t>
  </si>
  <si>
    <t>ALDA KALINE TAVARES DA SILVA</t>
  </si>
  <si>
    <t>ANDRE JACINTO ONOFRE</t>
  </si>
  <si>
    <t>RICARDO SOARES DOS SANTOS</t>
  </si>
  <si>
    <t>RODOLFO OLIVEIRA DOS SANTOS</t>
  </si>
  <si>
    <t>ISRAEL BARBOSA DOMINGOS</t>
  </si>
  <si>
    <t>SUELY DE CAMPOS</t>
  </si>
  <si>
    <t>JONAS DE SOUSA ALVES</t>
  </si>
  <si>
    <t>PRISCILLA GUIMARAES SILVA</t>
  </si>
  <si>
    <t>REJANE DO NASCIMENTO DA SILVA</t>
  </si>
  <si>
    <t>MIRELE FERNANDA CANDIDO DE SOUZA</t>
  </si>
  <si>
    <t>ELIENE DE FRANCA SILVA</t>
  </si>
  <si>
    <t>KALINE TERESA PEREIRA GONCALVES</t>
  </si>
  <si>
    <t>ANTONIO JOSE DE MEIRELES NETO</t>
  </si>
  <si>
    <t>MYLENA DA SILVA ALMEIDA</t>
  </si>
  <si>
    <t>RODOLLFO GUEDES SOUZA DOS SANTOS</t>
  </si>
  <si>
    <t>SAYONARA FERREIRA E SILVA</t>
  </si>
  <si>
    <t>TALES ALVES FIGUEIREDO</t>
  </si>
  <si>
    <t>SANDRO RENATO DIAS</t>
  </si>
  <si>
    <t>LUCAS SARMENTO FRADE</t>
  </si>
  <si>
    <t>MARIA JOSE BARBOSA ALVES</t>
  </si>
  <si>
    <t>MARIA JULIANA ALEXANDRE DE MELO</t>
  </si>
  <si>
    <t>JANILSON RAMOS DE LIMA</t>
  </si>
  <si>
    <t>MATHEUS GARCIA BARBOSA DE FIGUEIREDO</t>
  </si>
  <si>
    <t>ANTONIA MAIARA MARQUES DO NASCIMENTO</t>
  </si>
  <si>
    <t>SAYONARA LEITE DOS SANTOS</t>
  </si>
  <si>
    <t>LOUISE KARLA CANDIDO COSTA</t>
  </si>
  <si>
    <t>MAIRA LEITE VILLARIM DIAS</t>
  </si>
  <si>
    <t>RAQUEL DE SOUSA CAMELO</t>
  </si>
  <si>
    <t>MICARLA CUSTODIO DA SILVA</t>
  </si>
  <si>
    <t>TELES DE SALES BEZERRA</t>
  </si>
  <si>
    <t>RAYANNE DO NASCIMENTO GRANGEIRO</t>
  </si>
  <si>
    <t>SIMONE PATRICIA SILVA DE MENEZES</t>
  </si>
  <si>
    <t>SHEILA BASTOS GOMES</t>
  </si>
  <si>
    <t>RAYLENE PEREIRA FERREIRA</t>
  </si>
  <si>
    <t>FRANCISCO ALLYSSON ASSIS FERREIRA GADELHA</t>
  </si>
  <si>
    <t>CLAUDIO ROCHA MOREIRA</t>
  </si>
  <si>
    <t>ADRIANA DE SOUZA SANTOS</t>
  </si>
  <si>
    <t>KARYNE RAKEL DOS SANTOS PONTES</t>
  </si>
  <si>
    <t>LUCY BARBOSA DUARTE DE ARAUJO</t>
  </si>
  <si>
    <t>GABRIELA DIAS DE OLIVEIRA</t>
  </si>
  <si>
    <t>MARCELO VENANCIO SILVA DE MELO</t>
  </si>
  <si>
    <t>ERIKA CHRISTINNE ALBUQUERQUE CORREIA</t>
  </si>
  <si>
    <t>PRISCILA DE SOUZA SOARES</t>
  </si>
  <si>
    <t>LUCIA DE FATIMA DE LUCENA SILVA</t>
  </si>
  <si>
    <t>YALA FABIA DIAS LUCENA</t>
  </si>
  <si>
    <t>RANY HELLISON DE OLIVEIRA ALVES</t>
  </si>
  <si>
    <t>DIOCLECIA PEREIRA DA SILVA</t>
  </si>
  <si>
    <t>ALINE DE BARROS SILVA</t>
  </si>
  <si>
    <t>ANABEL DA SILVA LIMA</t>
  </si>
  <si>
    <t>JANAINA DA SILVA CANDIDO</t>
  </si>
  <si>
    <t>DAMIAO JOSE DE LIMA SILVA</t>
  </si>
  <si>
    <t>JUPITER CAMISASSA JUNIOR</t>
  </si>
  <si>
    <t>DANIEL DE FREITAS FARIA</t>
  </si>
  <si>
    <t>NADJA SILVANIA RODRIGUES CLEMENTINO</t>
  </si>
  <si>
    <t>DANILO CESAR DE SOUSA BEZERRA</t>
  </si>
  <si>
    <t>PAMELA VALESKA NOBREGA SOARES</t>
  </si>
  <si>
    <t>IRIS CRISTINA GUABIRABA DA SILVA</t>
  </si>
  <si>
    <t>GEICE ARAUJO RIBEIRO</t>
  </si>
  <si>
    <t>ANDRESSA NUNES MOURA</t>
  </si>
  <si>
    <t>CINTIA NATIESCA SILVA VALENTIM PEREIRA</t>
  </si>
  <si>
    <t>KARINE PASSOS DA SILVEIRA</t>
  </si>
  <si>
    <t>FLAVIO ALCIONE LANA REIS</t>
  </si>
  <si>
    <t>IRISMAR CORDEIRO DE OLIVEIRA SILVA</t>
  </si>
  <si>
    <t>JESSICA RAQUELLY DE LIRA CORDEIRO</t>
  </si>
  <si>
    <t>ANGELA MARIA CAETANO</t>
  </si>
  <si>
    <t>GIBRAN MONTENEGRO GUEDES DE HOLANDA</t>
  </si>
  <si>
    <t>RODRIGO NUNES DA SILVA</t>
  </si>
  <si>
    <t>FERNANDA CAMPOS VIANA</t>
  </si>
  <si>
    <t>INGRID CARNEIRO CAVALCANTE SOUTO</t>
  </si>
  <si>
    <t>ANTONIO CARLOS DE SOUZA SANTOS ANDRADE</t>
  </si>
  <si>
    <t>JACKCIONEIDE FRANCISCO DA CRUZ</t>
  </si>
  <si>
    <t>DAYANE BARBOSA COSTA</t>
  </si>
  <si>
    <t>CARLOS ALBERTO SOUSA MARTINS</t>
  </si>
  <si>
    <t>FABIO ANDRE LIMEIRA</t>
  </si>
  <si>
    <t>JOYCE LOUISE CRUZ XAVIER DE GOIS</t>
  </si>
  <si>
    <t>LUIZ RICARDO SALES</t>
  </si>
  <si>
    <t>DANIELLE PONCIANO DOS SANTOS</t>
  </si>
  <si>
    <t>JOSE FLAVIANO SOARES CORDEIRO</t>
  </si>
  <si>
    <t>RAILTON BARBOSA DA SILVA</t>
  </si>
  <si>
    <t>MATHEUS VIEIRA DE SOUSA</t>
  </si>
  <si>
    <t>DEISE NOGUEIRA DE SOUZA ALMEIDA</t>
  </si>
  <si>
    <t>HELTON MABSON JACINTO OLIVEIRA</t>
  </si>
  <si>
    <t>BEATRIZ AUGUSTA GONCALVES</t>
  </si>
  <si>
    <t>MURILO TOMAZ ARAUJO FERREIRA</t>
  </si>
  <si>
    <t>ANDREWS NOGUEIRA AMORIM</t>
  </si>
  <si>
    <t>EDNEIDE MENDES DE SANTANA</t>
  </si>
  <si>
    <t>GUSTAVO JOSE CAMPOS DE FARIAS</t>
  </si>
  <si>
    <t>GENILDA DA SILVA ALVES</t>
  </si>
  <si>
    <t>ERNANDES DE SOUSA FARIAS</t>
  </si>
  <si>
    <t>MARIA FERNANDA VENTURA DE CASTRO ALMEIDA</t>
  </si>
  <si>
    <t>ELIDIANE DO NASCIMENTO FERREIRA</t>
  </si>
  <si>
    <t>EMIRENA NUNES DE OLIVEIRA</t>
  </si>
  <si>
    <t>VALERIA NOGUEIRA DINIZ</t>
  </si>
  <si>
    <t>CAMILLA BEATRIZ PINHEIRO CAVALCANTE SILVA</t>
  </si>
  <si>
    <t>LUANA DE SOUSA LIMA</t>
  </si>
  <si>
    <t>MATEUS ALVES DE VASCONCELOS</t>
  </si>
  <si>
    <t>ANDREA CAROLINE BEZERRA DE ARAUJO</t>
  </si>
  <si>
    <t>KARINE BRAZ DE QUEIROZ</t>
  </si>
  <si>
    <t>EDENILSON ANDERSON FERREIRA COSTA</t>
  </si>
  <si>
    <t>GABRIELLA DIAS DE LIMA</t>
  </si>
  <si>
    <t>SORELE MAMEDE NASCIMENTO</t>
  </si>
  <si>
    <t>MAXWELL BARBOSA MEDEIROS</t>
  </si>
  <si>
    <t>MARCOS LUIZ DE CARVALHO</t>
  </si>
  <si>
    <t>HELIO BENTO DA SILVA FILHO</t>
  </si>
  <si>
    <t>SERGIO MECHELANY VELOSO</t>
  </si>
  <si>
    <t>RODRIGO ROCHA DE LIMA</t>
  </si>
  <si>
    <t>SHEILLA DARIELLY SEVERO SANTIAGO</t>
  </si>
  <si>
    <t>LIDIANE DOS SANTOS SILVA</t>
  </si>
  <si>
    <t>GERALDA APARECIDA DIAS</t>
  </si>
  <si>
    <t>ROSSANA PRISCILA ARAUJO OLIVEIRA</t>
  </si>
  <si>
    <t>RODOLFO DE MORAES LUCENA</t>
  </si>
  <si>
    <t>GLENON DUTRA</t>
  </si>
  <si>
    <t>GUSTAVO FERREIRA RIGGIO</t>
  </si>
  <si>
    <t>SHEILA AMARAL SANTOS RODRIGUES</t>
  </si>
  <si>
    <t>JOSE TIAGO LIMA DE FRANCA</t>
  </si>
  <si>
    <t>EDUARDO LUIZ PEREIRA</t>
  </si>
  <si>
    <t>BRUNO WESLLEY DE ARAUJO</t>
  </si>
  <si>
    <t>MATTHEUS RODRIGUES DA SILVA</t>
  </si>
  <si>
    <t>JOSE CARLOS DE ARAUJO</t>
  </si>
  <si>
    <t>ISRAEL LUIZ HARMENDANI DINIZ</t>
  </si>
  <si>
    <t>MARCOS PORTUGAL HORTA</t>
  </si>
  <si>
    <t>FLAVIO ALEXANDRE DA SILVA</t>
  </si>
  <si>
    <t>RODRIGO MONSERRATH DE ARAUJO</t>
  </si>
  <si>
    <t>EDSON DE OLIVEIRA SILVA</t>
  </si>
  <si>
    <t>DEBORA GOMES BARBOSA DE HOLANDA</t>
  </si>
  <si>
    <t>ANGELICA DE FATIMA LIMA TRINDADE</t>
  </si>
  <si>
    <t>JOSE ANDERSON GOMES NOGUEIRA</t>
  </si>
  <si>
    <t>RAIFF HUGO SANTOS</t>
  </si>
  <si>
    <t>CARLA NATHAMA FABRICIO SANTOS</t>
  </si>
  <si>
    <t>SUELEN BARBOZA DA SILVA</t>
  </si>
  <si>
    <t>PRISCILA PATRICIA VAZ</t>
  </si>
  <si>
    <t>IDAIANY PEREIRA DA SILVA</t>
  </si>
  <si>
    <t>BARBARA FRASSINETTI BRITO SOUSA</t>
  </si>
  <si>
    <t>JOSE WELLINGTON DE SOUSA SANTOS</t>
  </si>
  <si>
    <t>JANE GORETE PORTO</t>
  </si>
  <si>
    <t>SOFIA MARTINS DA COSTA RODRIGUES</t>
  </si>
  <si>
    <t>VANNESSA GOMES TORRES</t>
  </si>
  <si>
    <t>ROSSINIE DE MIRANDA ARAUJO</t>
  </si>
  <si>
    <t>ANDERSON BARBOSA DE ARAUJO</t>
  </si>
  <si>
    <t>ALLIFE FELIPE DA SILVA</t>
  </si>
  <si>
    <t>ROSANGELA RICARDO CAMPOS VASCONCELOS</t>
  </si>
  <si>
    <t>MARCELA RODRIGUES DA SILVA SOUSA</t>
  </si>
  <si>
    <t>ALINE MENDES MARCAO</t>
  </si>
  <si>
    <t>SHIRLEY CABRAL DE VASCONCELOS E SILVA</t>
  </si>
  <si>
    <t>YANNE FEITOSA RAMALHO GALVAO</t>
  </si>
  <si>
    <t>ALINE GOMES DE FARIA</t>
  </si>
  <si>
    <t>CONAN DAVIDSON FERREIRA DE LIMA</t>
  </si>
  <si>
    <t>VINICIUS DE CASTRO SCOTTA DOS PASSOS</t>
  </si>
  <si>
    <t>JOSE HUMBERTO CRUVINEL RESENDE JUNIOR</t>
  </si>
  <si>
    <t>JOSE ILTON PEDRO FERNANDES</t>
  </si>
  <si>
    <t>DANIEL NUNES DA SILVA JUNIOR</t>
  </si>
  <si>
    <t>TAYRONE DE MACEDO ALMEIDA</t>
  </si>
  <si>
    <t>WESLEY NUNES MARQUES TORRES</t>
  </si>
  <si>
    <t>KHOMAR TANDERS DE OLIVEIRA</t>
  </si>
  <si>
    <t>JOSEMAR DE ASSIS OLIVEIRA</t>
  </si>
  <si>
    <t>TATIANE SOARES DA SILVA</t>
  </si>
  <si>
    <t>ADRIANA MARINHO DOS SANTOS SIRINO</t>
  </si>
  <si>
    <t>MARA RUBIA DE SOUZA ALBANO FELIX</t>
  </si>
  <si>
    <t>MARCELA JAUDE GRADIM SALVO</t>
  </si>
  <si>
    <t>LEONEIDE ALMEIDA MARTINS</t>
  </si>
  <si>
    <t>PEDRO LUIS FREIRE DE ANDRADE</t>
  </si>
  <si>
    <t>ALINE DE SOUZA MACEDO</t>
  </si>
  <si>
    <t>LIVIA DOS SANTOS PAES</t>
  </si>
  <si>
    <t>JOSE SANDRO FERREIRA RAMOS JUNIOR</t>
  </si>
  <si>
    <t>JOSE TRINDADE MONTEIRO NETO</t>
  </si>
  <si>
    <t>MOISES DA PASCOA MENEZES NETO</t>
  </si>
  <si>
    <t>GABRIELA SANTANA DE OLIVEIRA</t>
  </si>
  <si>
    <t>NATALIA MARQUES GOMES</t>
  </si>
  <si>
    <t>NIANE KELLY DE ARAUJO</t>
  </si>
  <si>
    <t>LARISSA ARRUDA VIEIRA VIDAL</t>
  </si>
  <si>
    <t>ANA PAULA FONSECA COSTA LOPES</t>
  </si>
  <si>
    <t>ALESSANDRO DIAS DA SILVA</t>
  </si>
  <si>
    <t>FLAVIO VIANA BAPTISTA</t>
  </si>
  <si>
    <t>EVELINE SUELLEN MONTEIRO DE LIRA</t>
  </si>
  <si>
    <t>LUZIA SIBELLE BANDEIRA</t>
  </si>
  <si>
    <t>KAROLINE FERREIRA BARBOSA</t>
  </si>
  <si>
    <t>ELYSON TARGINO TOMAZ</t>
  </si>
  <si>
    <t>AEDSON ALVES DE MORAIS</t>
  </si>
  <si>
    <t>CIRO CALEB BARBOSA GOMES</t>
  </si>
  <si>
    <t>JOAO PAULO ARAUJO PINTO</t>
  </si>
  <si>
    <t>WEYSSER FELIPE CANDIDO DE SOUZA</t>
  </si>
  <si>
    <t>DARLINNE AMANDA SORES LIMA</t>
  </si>
  <si>
    <t>KARLA DE CASSIA TORRES PIRES</t>
  </si>
  <si>
    <t>ROSALINA CONCEICAO SANTOS</t>
  </si>
  <si>
    <t>LAURA ISABEL GUIMARAES DE SOUZA</t>
  </si>
  <si>
    <t>CLAUDIA CARDOSO</t>
  </si>
  <si>
    <t>RAISSA SOUZA TAVEIRA</t>
  </si>
  <si>
    <t>SANDRO LUIZ DO NASCIMENTO</t>
  </si>
  <si>
    <t>JOHNATAN MEIRELES DO NASCIMENTO</t>
  </si>
  <si>
    <t>ANA CAROLINA SILVEIRA LOTT</t>
  </si>
  <si>
    <t>DALTON CARDILLO MACEDO</t>
  </si>
  <si>
    <t>MARIA GLAYCE KELLY OLIVEIRA DA SILVA</t>
  </si>
  <si>
    <t>SILVIA BEATRIZ DA PAZ MINEIRO</t>
  </si>
  <si>
    <t>ANA PAULA SILVA</t>
  </si>
  <si>
    <t>MARCUS VINICIUS SOUSA JANUARIO</t>
  </si>
  <si>
    <t>MARIA AUGUSTA DE MEDEIROS BARRETO NETA</t>
  </si>
  <si>
    <t>CINTHIA COSTA MAIA</t>
  </si>
  <si>
    <t>IGOR BENJAMIM DE ANDRADE</t>
  </si>
  <si>
    <t>GECIANA ACELINO DOS SANTOS</t>
  </si>
  <si>
    <t>ELIDIO RAIMUNDO DA SILVA JUNIOR</t>
  </si>
  <si>
    <t>SABRINA SILVA FERREIRA</t>
  </si>
  <si>
    <t>ROSSANDRA ALVES MAIA</t>
  </si>
  <si>
    <t>ALIANE SILVA COSTA</t>
  </si>
  <si>
    <t>MORGANA PEREIRA DA SILVA</t>
  </si>
  <si>
    <t>MARCILANNE FLAUSINO DA SILVA</t>
  </si>
  <si>
    <t>WALDAYANNE ALVES VIANA FELIX</t>
  </si>
  <si>
    <t>JULIANO PAULINO PEREIRA</t>
  </si>
  <si>
    <t>ROMARIO JOSE ALVES DOS SANTOS</t>
  </si>
  <si>
    <t>MANOEL SILVEIRA PALHARES</t>
  </si>
  <si>
    <t>EDVALDO JANUARIO DA SILVA</t>
  </si>
  <si>
    <t>PEDRO HENRIQUE MEDEIROS NICACIO</t>
  </si>
  <si>
    <t>VITOR DO NASCIMENTO MACHADO</t>
  </si>
  <si>
    <t>DALVA MORAIS DE ARAUJO</t>
  </si>
  <si>
    <t>JESSICA KALINE VIEIRA SANTOS</t>
  </si>
  <si>
    <t>SEVERINO DO RAMO VASCONCELOS DE SOUZA</t>
  </si>
  <si>
    <t>DAMIAO CARVALHO BEZERRA</t>
  </si>
  <si>
    <t>DANIELE ARAUJO CAMPOS SZUSTER</t>
  </si>
  <si>
    <t>MARIA CRISTINA NUNES DE MATOS</t>
  </si>
  <si>
    <t>CARLOS OTAVIO SOUZA DARUYCHE</t>
  </si>
  <si>
    <t>KELLEN CARVALHO CHAVES MASCARENHAS</t>
  </si>
  <si>
    <t>GEOVANIO FORTUNATO PALMEIRA</t>
  </si>
  <si>
    <t>NARRIMAN DAS GRACAS SILVEIRA VILHENA</t>
  </si>
  <si>
    <t>GIRLAINE PAULINO DOS ANJOS</t>
  </si>
  <si>
    <t>IEDA CHAGAS ALMEIDA</t>
  </si>
  <si>
    <t>FABIO FERREIRA DE OLIVEIRA</t>
  </si>
  <si>
    <t>MARCO TULIO SOARES</t>
  </si>
  <si>
    <t>EDNALDA FERREIRA DA SILVA</t>
  </si>
  <si>
    <t>ANA KARINA AUGUSTO DA SILVA</t>
  </si>
  <si>
    <t>EDER DO NASCIMENTO SOUSA</t>
  </si>
  <si>
    <t>JONATAN AGNELLI PIRES GENEROSO</t>
  </si>
  <si>
    <t>ANDERSON VITORINO DE OLIVEIRA</t>
  </si>
  <si>
    <t>IZABELLA AMARAL DA SILVA</t>
  </si>
  <si>
    <t>MURILLO MARTINS DUARTE</t>
  </si>
  <si>
    <t>ALBERTO WAGNER OLIVEIRA DE OLIVEIRA</t>
  </si>
  <si>
    <t>MAIRA KELLY VERENGUE MOYA</t>
  </si>
  <si>
    <t>ISLLAYNE HELOIZA DE MELO SALES</t>
  </si>
  <si>
    <t>MARIO HERCULANO DE OLIVEIRA</t>
  </si>
  <si>
    <t>GABRIEL NOGUEIRA MAIA</t>
  </si>
  <si>
    <t>CRISTIANO ROGERIO DA SILVA MEDEIROS</t>
  </si>
  <si>
    <t>MAURICIO PENA ROZZETTO</t>
  </si>
  <si>
    <t>ALEX DOUGLAS DE MELO ALVES</t>
  </si>
  <si>
    <t>FERNANDA MONTEIRO SARAIVA</t>
  </si>
  <si>
    <t>REGINA MARIA FERNANDES</t>
  </si>
  <si>
    <t>JOSE CORIOLANO ZARATTINI NIFFINEGGER</t>
  </si>
  <si>
    <t>MARIA CLAUDIA LEITE DIAS</t>
  </si>
  <si>
    <t>MARCIA ANDREA NOGUEIRA MAGALHAES</t>
  </si>
  <si>
    <t>ANDREIA GARCIA CARNEIRO</t>
  </si>
  <si>
    <t>GEREMIAS DE SOUZA SILVA</t>
  </si>
  <si>
    <t>JADLEY EMIDIO PEREIRA</t>
  </si>
  <si>
    <t>DJEINY DRIELLY LOPES DE FREITAS</t>
  </si>
  <si>
    <t>WILLIAN WALLAS CORREIA DA SILVA</t>
  </si>
  <si>
    <t>VICENTE RODRIGUES DE OLIVEIRA NETO</t>
  </si>
  <si>
    <t>FABIANA DE SIQUEIRA BRAZ</t>
  </si>
  <si>
    <t>FABIENNY SOUTO QUEIROZ TRAVASSOS</t>
  </si>
  <si>
    <t>ANA LIGIA DA COSTA PEREIRA</t>
  </si>
  <si>
    <t>THOMAS MATEUS SANTANA NUNES</t>
  </si>
  <si>
    <t>LAYSE DORACI CARNEIRO DA SILVA</t>
  </si>
  <si>
    <t>MARCONI COELHO DOS SANTOS</t>
  </si>
  <si>
    <t>ADRIANA VILAR DE SOUSA</t>
  </si>
  <si>
    <t>GLEYDSON JOHN TORRES DE FARIAS</t>
  </si>
  <si>
    <t>CARLOS ALBERTO DE AMORIM PORTO</t>
  </si>
  <si>
    <t>PEDRO CLAUDEMIR DA CRUZ COSTA</t>
  </si>
  <si>
    <t>LETICIA AGUIAR DE ABREU</t>
  </si>
  <si>
    <t>ALIANE PEREIRA CAVALCANTE</t>
  </si>
  <si>
    <t>GERALDO MAGELA LUZIA DA SILVA</t>
  </si>
  <si>
    <t>DOUGLAS RAMOS NOBREGA</t>
  </si>
  <si>
    <t>THIAGO BARROS SANTOS</t>
  </si>
  <si>
    <t>KELLY CHRISTINY DUTRA BEZERRA</t>
  </si>
  <si>
    <t>IVANIA SAMARA DO NASCIMENTO ANDRE</t>
  </si>
  <si>
    <t>TIAGO NUNES DE FIGUEIREDO</t>
  </si>
  <si>
    <t>GILCILENE DA COSTA DE SOUSA</t>
  </si>
  <si>
    <t>MARCIA RAQUEL FELIX DA COSTA</t>
  </si>
  <si>
    <t>VALERIA DE ABREU E SILVA</t>
  </si>
  <si>
    <t>FLAVIO DE ARAUJO CANCADO</t>
  </si>
  <si>
    <t>CLEIDE FERREIRA RODRIGUES</t>
  </si>
  <si>
    <t>EDMUNDO AUGUSTO DA SILVA NETO</t>
  </si>
  <si>
    <t>MESIAS RAMOS DE SOUSA NEVES</t>
  </si>
  <si>
    <t>PRISCILLA KADIDJA CASTRO DE SOUZA</t>
  </si>
  <si>
    <t>RODRIGO ALMEIDA SOUZA</t>
  </si>
  <si>
    <t>ANY KAROLINE SILVA CRUZ</t>
  </si>
  <si>
    <t>MARIA STELA FREITAS NUNES</t>
  </si>
  <si>
    <t>HILTON CESAR PEREIRA DE ALBUQUERQUE</t>
  </si>
  <si>
    <t>ALCIONE REMIGIO BATISTA</t>
  </si>
  <si>
    <t>MARIA HELOA DA SILVA LIMA</t>
  </si>
  <si>
    <t>FRANCISCO DAS CHAGAS RODRIGUES</t>
  </si>
  <si>
    <t>DIOGO SUDARIO JUSTINO DE SOUSA</t>
  </si>
  <si>
    <t>ROOSIVELT DE SOUSA RIBEIRO</t>
  </si>
  <si>
    <t>RAFAEL FERREIRA DE MELO</t>
  </si>
  <si>
    <t>HELENA DE ANDRADE MARIGO DIAS</t>
  </si>
  <si>
    <t>DONYLLA GOMES DE PAIVA</t>
  </si>
  <si>
    <t>MAGID FIGUEIREDO ALI</t>
  </si>
  <si>
    <t>LUCAS BEZERRA MATIAS DE FREITAS</t>
  </si>
  <si>
    <t>ISADORA FRAGA PEDROSA</t>
  </si>
  <si>
    <t>ALINE LACERDA LINO DA SILVA</t>
  </si>
  <si>
    <t>ANA KARINE DE OLIVEIRA LORENZI</t>
  </si>
  <si>
    <t>DANIEL DUARTE DE SOUZA</t>
  </si>
  <si>
    <t>RAYANNE VALESKA MARIA SALES NEVES</t>
  </si>
  <si>
    <t>LAYSA VALERIA ALVES DE SOUZA</t>
  </si>
  <si>
    <t>RAQUEL CABRAL DA CUNHA</t>
  </si>
  <si>
    <t>DAISY FATIMA S CASTILHO DE AVELLAR</t>
  </si>
  <si>
    <t>DANIELE CIRIBELLI KELMER</t>
  </si>
  <si>
    <t>FERNANDA PATRICIA FERREIRA DA COSTA</t>
  </si>
  <si>
    <t>ANDREZZA LIRA CAVALCANTI</t>
  </si>
  <si>
    <t>JONATAS ALVES SANTOS</t>
  </si>
  <si>
    <t>JOSE AMAURI NEVES DE AMORIM JUNIOR</t>
  </si>
  <si>
    <t>MARIA ANGELICA SIUVES ROSA DE LIMA MAC</t>
  </si>
  <si>
    <t>HELIO BENJAMIN COSTA</t>
  </si>
  <si>
    <t>MIKLY DE LIMA BENTO</t>
  </si>
  <si>
    <t>ADOLFO VEILLER SOUZA HENRIQUES</t>
  </si>
  <si>
    <t>CASSIO MARLOS DE NORONHA ARRUDA</t>
  </si>
  <si>
    <t>ANA CLAUDIA CORDEIRO ERNESTO</t>
  </si>
  <si>
    <t>GLADSON DE SOUZA SANTOS</t>
  </si>
  <si>
    <t>JOSE ALVINO  NETO</t>
  </si>
  <si>
    <t>ERTON ARAUJO BEZERRA</t>
  </si>
  <si>
    <t>JULIANA DE SOUSA RAMOS</t>
  </si>
  <si>
    <t>SEVERINO CORDEIRO DE MELO</t>
  </si>
  <si>
    <t>CINTHIA EMILIA PASSOS</t>
  </si>
  <si>
    <t>CRISTIANO LESSA LADEIRA</t>
  </si>
  <si>
    <t>JOCELIA GONCALVES DOS SANTOS</t>
  </si>
  <si>
    <t>LUCIANA BATISTA DE FREITAS</t>
  </si>
  <si>
    <t>NERIANE DA SILVA ARAUJO</t>
  </si>
  <si>
    <t>VALQUIRIA DOS SANTOS</t>
  </si>
  <si>
    <t>JOICE DA SILVA LIMA</t>
  </si>
  <si>
    <t>THALITA MARIA LEITE GOMES CARNEIRO</t>
  </si>
  <si>
    <t>ALISSON ROGERIO DA SILVA</t>
  </si>
  <si>
    <t>DANIELA BASTOS LEAO</t>
  </si>
  <si>
    <t>XENIA WANDERLEY GONCALVES</t>
  </si>
  <si>
    <t>GABRYELLE UCHOA PEREIRA DE LIMA</t>
  </si>
  <si>
    <t>THYAGO MEDEIROS DA SILVA</t>
  </si>
  <si>
    <t>KAMILLA NATHALIA BELMIRO SILVA</t>
  </si>
  <si>
    <t>LUIZ HENRIQUE SILVA DO NASCIMENTO</t>
  </si>
  <si>
    <t>GILSON SOUZA JUNIOR</t>
  </si>
  <si>
    <t>PATRICIA VIEIRA ALVARENGA</t>
  </si>
  <si>
    <t>FRANCUARLY SANTANA DOS SANTOS</t>
  </si>
  <si>
    <t>ALCIONE DE ARAUJO MEDEIROS</t>
  </si>
  <si>
    <t>WELLISON LIMA DA SILVA</t>
  </si>
  <si>
    <t>TARCYA KEYLER MATOS DE OLIVEIRA</t>
  </si>
  <si>
    <t>BRUNO JOSE CLEMENTINO</t>
  </si>
  <si>
    <t>KAMILA SILVA ARAUJO</t>
  </si>
  <si>
    <t>KELDYMA BRANDAO DE SOUZA</t>
  </si>
  <si>
    <t>JUDAS TADEU LINO DA COSTA</t>
  </si>
  <si>
    <t>SANDRO TAVARES</t>
  </si>
  <si>
    <t>ROGERIO GOMES DA CUNHA</t>
  </si>
  <si>
    <t>VANESSA DUARTE MATOS CASTELAR</t>
  </si>
  <si>
    <t>ERINANDA DUARTE DE BRITO</t>
  </si>
  <si>
    <t>RAISSA  BATISTA APOLINARIO</t>
  </si>
  <si>
    <t>MATEUS HERCULANO PEREIRA DE OLIVEIRA ARAUJO</t>
  </si>
  <si>
    <t>JOSINALDO FERREIRA DOS SANTOS</t>
  </si>
  <si>
    <t>TUILA PEREIRA NOBREGA</t>
  </si>
  <si>
    <t>ISIS DE CARVALHO</t>
  </si>
  <si>
    <t>EULLER THALES GUIMARAES PEREIRA</t>
  </si>
  <si>
    <t>MARIA REJANE DE SOUSA SILVINO</t>
  </si>
  <si>
    <t>CHRISTIAN SCHAPER SORIANO DE SOUZA</t>
  </si>
  <si>
    <t>RAYANE DE ALMEIDA FARIAS</t>
  </si>
  <si>
    <t>ALESSANDRO BARBOSA GUSMAO</t>
  </si>
  <si>
    <t>ARTHUR LEITE BARROS NASCIMENTO</t>
  </si>
  <si>
    <t>LUCIEDA MARIA FERNANDES</t>
  </si>
  <si>
    <t>SILVANA FRANCA GUABIROBA</t>
  </si>
  <si>
    <t>PEDRO ALVES PESSOA FILHO</t>
  </si>
  <si>
    <t>ANA PAULA MARQUES DA SILVA</t>
  </si>
  <si>
    <t>INES LIDIANE BELARMINO DA SILVA</t>
  </si>
  <si>
    <t>ANTONIO PEREIRA MAGALHAES</t>
  </si>
  <si>
    <t>JONAS DA SILVA ANTAS</t>
  </si>
  <si>
    <t>DEOLINDA RIBEIRO RODRIGUES</t>
  </si>
  <si>
    <t>JESSIKA PEREIRA DE BRITO</t>
  </si>
  <si>
    <t>LEONILSA MARIA DOS SANTOS COSTA</t>
  </si>
  <si>
    <t>EURIMAR CUNHA</t>
  </si>
  <si>
    <t>JAISY RUANA DE MEDEIROS DANTAS</t>
  </si>
  <si>
    <t>CLAUDIO LOUREIRO GOMES</t>
  </si>
  <si>
    <t>RAYANE RAQUEL SABINO DE ARAUJO</t>
  </si>
  <si>
    <t>YANNA MAISA LEITAO</t>
  </si>
  <si>
    <t>IAGO MACKSON PINTO DE ARAUJO</t>
  </si>
  <si>
    <t>GABRIELY DE JESUS BERTO ARAUJO</t>
  </si>
  <si>
    <t>VIRLANE SOFIA SALOMAO FARIAS</t>
  </si>
  <si>
    <t>MARCIO CERQUEIRA BATITUCCI</t>
  </si>
  <si>
    <t>ROSANA MARCIA DE ABREU RAMIREZ</t>
  </si>
  <si>
    <t>GLENDA CASSIA DE SOUZA TORREZANI</t>
  </si>
  <si>
    <t>WESLEY LOPES REIS</t>
  </si>
  <si>
    <t>FABIANA CAMPOLINA DE AZEREDO COUTINHO</t>
  </si>
  <si>
    <t>FELIPE EDUARDO DA SILVA OLIVEIRA</t>
  </si>
  <si>
    <t>AMANDA  VALERIA MONTEIRO GOMES</t>
  </si>
  <si>
    <t>MILENA TAVARES DO NASCIMENTO</t>
  </si>
  <si>
    <t>CLOVES FERNANDES DA NOBREGA JUNIOR</t>
  </si>
  <si>
    <t>DEMOCRITO SENA SALES NETO</t>
  </si>
  <si>
    <t>PATRICIA MUNDIM DE ALCANTARA</t>
  </si>
  <si>
    <t>ANA GABRIELA RIBEIRO DA SILVA MARTINS</t>
  </si>
  <si>
    <t>ANNA MACYARA MAIA PEDROSA BARRETO</t>
  </si>
  <si>
    <t>CLAUDIA GOMES BROILO</t>
  </si>
  <si>
    <t>MIRIAN RODRIGUES CAMOROPIN</t>
  </si>
  <si>
    <t>FABIO JOSE TARGINO MOREIRA DA SILVA JUNIOR</t>
  </si>
  <si>
    <t>MARIA DA CONCEICAO DE ANDRADE</t>
  </si>
  <si>
    <t>VANESSA ALVES DE LIMA</t>
  </si>
  <si>
    <t>ROSALVA DE OLIVEIRA</t>
  </si>
  <si>
    <t>VALDILENE DA SILVA PEREIRA</t>
  </si>
  <si>
    <t>VANESSA CRISTINA DE CASTRO BRAGAGNOLO</t>
  </si>
  <si>
    <t>TIAGO DE MELO ARRUDA</t>
  </si>
  <si>
    <t>FERNANDO NILO REZENDE</t>
  </si>
  <si>
    <t>CAMILA RITCHELY SOARES DE OLIVEIRA</t>
  </si>
  <si>
    <t>RAFAEL RIBEIRO ALVES</t>
  </si>
  <si>
    <t>EDJAILDA VIEIRA LEAL</t>
  </si>
  <si>
    <t>TALITA BEZERRA MONTENEGRO</t>
  </si>
  <si>
    <t>EMILLY GALVINCIO MONTENEGRO</t>
  </si>
  <si>
    <t>TASSIA IASMIM SOUZA SANTOS</t>
  </si>
  <si>
    <t>JOSE VANILSON MAXIMO DA SILVA</t>
  </si>
  <si>
    <t>SARAH CAETANO PEREIRA</t>
  </si>
  <si>
    <t>RAYSSA RAFAELLA LEITE BATISTA</t>
  </si>
  <si>
    <t>KARLA LORENE DE FRANCA LEITE</t>
  </si>
  <si>
    <t>HELIO SOUZA MARTINS</t>
  </si>
  <si>
    <t>EDILAYANE DA NOBREGA SANTOS</t>
  </si>
  <si>
    <t>AMANDA FELIPE DA SILVA</t>
  </si>
  <si>
    <t>ANA LIGIA CEZAR MARACAJA</t>
  </si>
  <si>
    <t>NAGLA SILVA CUNHA</t>
  </si>
  <si>
    <t>ALEXANDRE REIS REBELLO</t>
  </si>
  <si>
    <t>ISRAEL PEREIRA DE ALMEIDA</t>
  </si>
  <si>
    <t>BRUNO DINIZ PINTO</t>
  </si>
  <si>
    <t>JOSE WENDEL DE OLIVEIRA SILVA</t>
  </si>
  <si>
    <t>ADRIELE BISPO DO NASCIMENTO</t>
  </si>
  <si>
    <t>DENNISON LUCAS VASCONCELOS</t>
  </si>
  <si>
    <t>CELIENE GOMES ALEXANDRE</t>
  </si>
  <si>
    <t>APOLLO DE SOUSA ROSA</t>
  </si>
  <si>
    <t>ANA CAROLINA BRANDAO DE SOUSA BARBOSA</t>
  </si>
  <si>
    <t>SYZAINE PAMELA SANTANA DA SILVA</t>
  </si>
  <si>
    <t>THOMAS DE MELO SILVA</t>
  </si>
  <si>
    <t>THIAGO WENZEL CORTEZ DA SILVA</t>
  </si>
  <si>
    <t>FABIANO LACERDA DE OLIVEIRA</t>
  </si>
  <si>
    <t>GILMAR FERREIRA LIMA</t>
  </si>
  <si>
    <t>FLAVIA FREITAS DA SILVA</t>
  </si>
  <si>
    <t>YDALLYNA MACARIO DA SILVA</t>
  </si>
  <si>
    <t>PEDRO FILIPE DE FARIAS GONZAGA</t>
  </si>
  <si>
    <t>ANDERSON DOS SANTOS FELIX</t>
  </si>
  <si>
    <t>RAFAEL ARAUJO DINIZ</t>
  </si>
  <si>
    <t>SERGIO RICARDO GOMES DE FREITAS JUNIOR</t>
  </si>
  <si>
    <t>ELIAS FERREIRA JUNIOR</t>
  </si>
  <si>
    <t>LIGIANE FAUSTINO DA SILVA COUTINHO</t>
  </si>
  <si>
    <t>VINICIUS ROMAN</t>
  </si>
  <si>
    <t>ALEXANDRE DE ALMEIDA SENRA</t>
  </si>
  <si>
    <t>JONNATAS MENEZES LAUREANO</t>
  </si>
  <si>
    <t>DANIEL FELIX DA SILVA</t>
  </si>
  <si>
    <t>MARIANA MACIEL ALMEIDA DE ANDRADE</t>
  </si>
  <si>
    <t>DECIO RANIERE DE BRITO GALDINO</t>
  </si>
  <si>
    <t>FRANCISCO MURYLLO BEZERRA FERREIRA</t>
  </si>
  <si>
    <t>SAMARA MARIA LIMA PRACIANO</t>
  </si>
  <si>
    <t>HAVANIELE BANDEIRA NASCIMENTO</t>
  </si>
  <si>
    <t>DIEGO MIGUEL DA SILVA</t>
  </si>
  <si>
    <t>GRACIELA DA MOTTA NADU</t>
  </si>
  <si>
    <t>VERA LUCIA XAVIER RIBEIRO CHAVES</t>
  </si>
  <si>
    <t>POLIEDSON BEZERRA DA COSTA</t>
  </si>
  <si>
    <t>JOSE HELIO OLIVEIRA DE MELO</t>
  </si>
  <si>
    <t>FRANCIGEFESON LINHARES DOS SANTOS EZEQUIEL</t>
  </si>
  <si>
    <t>MARIA CATARINA ANANIAS DE ARAUJO</t>
  </si>
  <si>
    <t>ERIK MANOEL FARIAS DE BRITO</t>
  </si>
  <si>
    <t>EDIS INOCENCIO DA SILVA</t>
  </si>
  <si>
    <t>JOSEFA IRANETE JUSTINO ROCHA</t>
  </si>
  <si>
    <t>ROBSON ELIAS DO NASCIMENTO</t>
  </si>
  <si>
    <t>FRANCISLEIDE ALVES DA SILVA</t>
  </si>
  <si>
    <t>LAURO LUCAS PEREIRA MENDES</t>
  </si>
  <si>
    <t>MARCELLY FIRMINO CAMARA</t>
  </si>
  <si>
    <t>MARIA APARECIDA NERY DA SILVA NOGUEIRA</t>
  </si>
  <si>
    <t>GREGORIO MOREIRA DE ALBUQUERQUE NETO</t>
  </si>
  <si>
    <t>ERICA SAMARA DE QUEIROZ NUNES</t>
  </si>
  <si>
    <t>FRANCISCO FERREIRA GOUVEIA FILHO</t>
  </si>
  <si>
    <t>MARINA ARATUZIA EZEQUIEL DE OLIVEIRA</t>
  </si>
  <si>
    <t>EUGENIA HOZANA DE VASCONCELOS FREIRE</t>
  </si>
  <si>
    <t>CINTIA MARIA SALDANHA FERNANDES</t>
  </si>
  <si>
    <t>VICTOR PONTES NOBREGA</t>
  </si>
  <si>
    <t>FATIMA CORREA DE TAVORA</t>
  </si>
  <si>
    <t>ANDRE LUIS PIRES DE SOUZA</t>
  </si>
  <si>
    <t>BRUNNA MARIA GUIMARAES BEZERRA</t>
  </si>
  <si>
    <t>TALITA ALVES SANTOS</t>
  </si>
  <si>
    <t>OLYNTHO GERALDO DORNAS DE ANDRADE</t>
  </si>
  <si>
    <t>MARIA CECILIA RODRIGUES FERREIRA</t>
  </si>
  <si>
    <t>KAIZA DE SOUSA SANTOS</t>
  </si>
  <si>
    <t>JANIELY OLIVEIRA VIEIRA</t>
  </si>
  <si>
    <t>ROXANA EMILIA NAZARE PEREIRA</t>
  </si>
  <si>
    <t>RAFAELA CASTELO BRANCO DE HOLANDA</t>
  </si>
  <si>
    <t>MARIA CLARA SILVA RIBEIRO LOBO</t>
  </si>
  <si>
    <t>HANNAH TAYNNAN DE LIMA BEZERRA RABELO</t>
  </si>
  <si>
    <t>HENRIQUE ANDREAZZA</t>
  </si>
  <si>
    <t>LELIA FIGUEIREDO</t>
  </si>
  <si>
    <t>GILDA MARIA BRAGA PERDIGAO</t>
  </si>
  <si>
    <t>SEVERINO PEREIRA ALVES DE LIMA</t>
  </si>
  <si>
    <t>ANA CAROLINA BARBABELLA MALTEZ</t>
  </si>
  <si>
    <t>AISLAN DOUGLAS DA FRANCA BEZERRA</t>
  </si>
  <si>
    <t>ARTHUR EMILIANO FONTES DE OLIVEIRA</t>
  </si>
  <si>
    <t>HUGO STEFANO MONTEIRO DANTAS</t>
  </si>
  <si>
    <t>VANESSA GAMA CAVALCANTE</t>
  </si>
  <si>
    <t>WLIANA PONTES DE LIMA</t>
  </si>
  <si>
    <t>RAIMUNDA APARECIDA SILVA DO NASCIMENTO</t>
  </si>
  <si>
    <t>ANTONIO GEOVANE DE FARIAS PAZ</t>
  </si>
  <si>
    <t>AMANDA DOS SANTOS DE PAIVA GOMES</t>
  </si>
  <si>
    <t>MARCO ANTONIO ABREU SADER</t>
  </si>
  <si>
    <t>ADRIANA FERREIRA DA COSTA</t>
  </si>
  <si>
    <t>JUNIERIKA DE FREITAS MARTINS</t>
  </si>
  <si>
    <t>IESA MORGANA MOURA MARTINS</t>
  </si>
  <si>
    <t>CARMEM GABRIELLA BEZERRA VALES</t>
  </si>
  <si>
    <t>MARINEIDE MIGUEL DE ARAUJO</t>
  </si>
  <si>
    <t>CARLOS HENRIQUE SANTOS</t>
  </si>
  <si>
    <t>DAYANA KELLY SILVA SOUZA</t>
  </si>
  <si>
    <t>RENATA ARAPUJO DE SOUZA</t>
  </si>
  <si>
    <t>EVANDRO RODRIGO DA SILVA GOMES</t>
  </si>
  <si>
    <t>IZABEL MIGUEL PINHEIRO</t>
  </si>
  <si>
    <t>IANA MARIA ARAUJO LOPES</t>
  </si>
  <si>
    <t>IAGO SILVA OLIVEIRA</t>
  </si>
  <si>
    <t>ELLEN EVARISTO DA SILVA</t>
  </si>
  <si>
    <t>MARCELO DA SILVA RODRIGUES</t>
  </si>
  <si>
    <t>JESSICA TATIANE BEZERRA LEITE</t>
  </si>
  <si>
    <t>ANDREA DE OLIVEIRA LIMA THEBIT</t>
  </si>
  <si>
    <t>LUCILIANA DE OLIVEIRA FERREIRA</t>
  </si>
  <si>
    <t>MIRELLY MEDEIROS WANDERLEY</t>
  </si>
  <si>
    <t>SONYELTON BARBOSA DA SILVA</t>
  </si>
  <si>
    <t>NAYARA ENEIAS SOUZA</t>
  </si>
  <si>
    <t>SILVANA GOMES DE SOUZA</t>
  </si>
  <si>
    <t>CLARISSA BATISTA FERREIRA</t>
  </si>
  <si>
    <t>THAIS MARA SOUZA PEREIRA</t>
  </si>
  <si>
    <t>Função =SE()</t>
  </si>
  <si>
    <r>
      <t xml:space="preserve">Preencha todos os campos na cor </t>
    </r>
    <r>
      <rPr>
        <sz val="11"/>
        <color rgb="FFFFC000"/>
        <rFont val="Calibri"/>
        <family val="2"/>
        <scheme val="minor"/>
      </rPr>
      <t>Amarelo</t>
    </r>
  </si>
  <si>
    <t>USE A FUNÇÃO =SE() PARA SABER SE O PAGAMENTO DAS FATURAS FOI</t>
  </si>
  <si>
    <t>USE A FUNÇÃO =SE() PARA CALCULAR COMISSÃO PARA ALGUNS FUNCIONÁRIOS QUE</t>
  </si>
  <si>
    <t>USE A FUNÇÃO =SE() PARA CALCULAR 4% DE DESCONTO PARA COMPRAS</t>
  </si>
  <si>
    <t>PAGO COM ATRASO:</t>
  </si>
  <si>
    <t>APARECEM COM "SIM" NA COLUNA "COMISSIONADO"</t>
  </si>
  <si>
    <t>ACIMA DE R$ 5.000,00</t>
  </si>
  <si>
    <t>DOCTO</t>
  </si>
  <si>
    <t>VENCTO</t>
  </si>
  <si>
    <t>DATA PAGTO</t>
  </si>
  <si>
    <t>DIAS ATRASO</t>
  </si>
  <si>
    <t>COLABORADOR</t>
  </si>
  <si>
    <t>COMISSIONADO</t>
  </si>
  <si>
    <t>VALOR VENDA</t>
  </si>
  <si>
    <t>5% COMISSÃO</t>
  </si>
  <si>
    <t>VALOR COMPRA</t>
  </si>
  <si>
    <t>% DESCONTO</t>
  </si>
  <si>
    <t>R$ DESCONTO</t>
  </si>
  <si>
    <t>A PAGAR</t>
  </si>
  <si>
    <t>Antonio Geraldo Rocha</t>
  </si>
  <si>
    <t>NÃO</t>
  </si>
  <si>
    <t>Eloiza Alves Lima</t>
  </si>
  <si>
    <t>Humberto Dias Novaes</t>
  </si>
  <si>
    <t>SIM</t>
  </si>
  <si>
    <t>Camila Seixas Oliveira</t>
  </si>
  <si>
    <t>Beatriz Alves Silva</t>
  </si>
  <si>
    <t>Roberto Calegari</t>
  </si>
  <si>
    <t>Elmer Mendes</t>
  </si>
  <si>
    <t>USE A FUNÇÃO =SE() PARA SABER A QUANTIDADE QUE DEVE SER</t>
  </si>
  <si>
    <t>USE A FUNÇÃO =SE() PARA CALCULAR O REAJUSTE DE SALÁRIO SENDO</t>
  </si>
  <si>
    <t>USE A FUNÇÃO =SE() PARA SABER O VALOR DE CADA PRODUTO ESTÁ</t>
  </si>
  <si>
    <t>RECOLOCADA EM ESTOQUE PARA ALGUNS PRODUTOS</t>
  </si>
  <si>
    <t>QUE: SALÁRIO MAIOR QUE R$ 2.000,00 TEM 15% DE AUMENTO, OS DEMAIS 25%</t>
  </si>
  <si>
    <t>ACIMA DA MÉDIA, CONSIDERANDO QUE SÃO TODOS ANÉIS</t>
  </si>
  <si>
    <t>CÓDIGO</t>
  </si>
  <si>
    <t>QTDE MÍNIMA</t>
  </si>
  <si>
    <t>QTDE ATUAL</t>
  </si>
  <si>
    <t>REPOR(S/N)</t>
  </si>
  <si>
    <t>QTDE REPOR</t>
  </si>
  <si>
    <t>SALÁRIO</t>
  </si>
  <si>
    <t>ACRÉSCIMO</t>
  </si>
  <si>
    <t>NOVO SALÁRIO</t>
  </si>
  <si>
    <t>ESTOQUE</t>
  </si>
  <si>
    <t>ACIMA (S/N)</t>
  </si>
  <si>
    <t>X1003</t>
  </si>
  <si>
    <t>X1004</t>
  </si>
  <si>
    <t>X1005</t>
  </si>
  <si>
    <t>X1006</t>
  </si>
  <si>
    <t>X1007</t>
  </si>
  <si>
    <t>X1008</t>
  </si>
  <si>
    <t>X1009</t>
  </si>
  <si>
    <t>CALCULANDO TEMPO DE DURAÇÃO DE CONTRATOS</t>
  </si>
  <si>
    <t>DATADIF</t>
  </si>
  <si>
    <t>CONTRATO NÚMERO</t>
  </si>
  <si>
    <t>DATA INÍCIO</t>
  </si>
  <si>
    <t>DATA TÉRMINO</t>
  </si>
  <si>
    <t>SOMAR HORAS TRABALHADAS</t>
  </si>
  <si>
    <t>DATA</t>
  </si>
  <si>
    <t>DIA</t>
  </si>
  <si>
    <t>HORAS TRABALHADAS</t>
  </si>
  <si>
    <t>SOMA DE HORAS</t>
  </si>
  <si>
    <t>SOMAR VALOR DE HORAS TRABALHADAS</t>
  </si>
  <si>
    <r>
      <t xml:space="preserve">VALOR DA HORA TRABALHADA: </t>
    </r>
    <r>
      <rPr>
        <b/>
        <sz val="10"/>
        <color rgb="FFC00000"/>
        <rFont val="Calibri"/>
        <family val="2"/>
      </rPr>
      <t>R$ 25,00</t>
    </r>
  </si>
  <si>
    <t>VALOR A PAGAR</t>
  </si>
  <si>
    <t>CONTAR VALORES MAIORES QUE R$ 120,00</t>
  </si>
  <si>
    <t>REFERENTES A PEDÁGIO</t>
  </si>
  <si>
    <t>SOMASES()</t>
  </si>
  <si>
    <t>REEMBOLSO</t>
  </si>
  <si>
    <t>REFERENTE</t>
  </si>
  <si>
    <t>VALORES MAIORES QUE R$ 120,00</t>
  </si>
  <si>
    <t>HOTELARIA</t>
  </si>
  <si>
    <t>COMBUSTÍVEL</t>
  </si>
  <si>
    <t>PEDÁGIO</t>
  </si>
  <si>
    <t>ALIMENTO</t>
  </si>
  <si>
    <t>RESUMIR VALORES</t>
  </si>
  <si>
    <t>FEVEREIRO</t>
  </si>
  <si>
    <t>Soma de Fevereiro</t>
  </si>
  <si>
    <t>Média de Fevereiro</t>
  </si>
  <si>
    <t>Maior valor de Fevereiro</t>
  </si>
  <si>
    <t>RESUMIR VALORES COM HOTELARIA</t>
  </si>
  <si>
    <t>PROCURAR() + ESQUERDA() OU EXT.TEXTO()</t>
  </si>
  <si>
    <t>EXTRAIR PRIMEIRO NOME DO COLABORADOR E UNIR COM AS 3 PRIMEIRAS LETRAS DO DEPTO</t>
  </si>
  <si>
    <t>NOME COMPLETO</t>
  </si>
  <si>
    <t>DEPTO</t>
  </si>
  <si>
    <t>PRIMEIRO NOME</t>
  </si>
  <si>
    <t>Antonio Vidal Lima</t>
  </si>
  <si>
    <t>LOGÍSTICA</t>
  </si>
  <si>
    <t>Carla Magno Medeiros</t>
  </si>
  <si>
    <t>RECURSO HUMANOS</t>
  </si>
  <si>
    <t>Humberto Costa Dias</t>
  </si>
  <si>
    <t>ADMINISTRAÇÃO</t>
  </si>
  <si>
    <t>Cleide Lamartini Vianca</t>
  </si>
  <si>
    <t>VENDAS</t>
  </si>
  <si>
    <t>Marcos Calegari Moreira</t>
  </si>
  <si>
    <t>COMERCIAL</t>
  </si>
  <si>
    <t>&gt; (MAIOR)</t>
  </si>
  <si>
    <t>CALCULAR A SOMA DE TODOS OS REEMBOLSOS</t>
  </si>
  <si>
    <t>&lt; (MENOR)</t>
  </si>
  <si>
    <t>MENOS OS VALORES COM ALIMENTO</t>
  </si>
  <si>
    <t>&lt;&gt; (DIFERENTE)</t>
  </si>
  <si>
    <t>VALOR DE TODOS OS REEMBOLSOS MENOS OS VALORES COM ALIMENTO</t>
  </si>
  <si>
    <t>EXTRAIR A DESCRIÇÃO DO PRODUTO</t>
  </si>
  <si>
    <t>PRODUTO</t>
  </si>
  <si>
    <t>DESCRIÇÃO</t>
  </si>
  <si>
    <t>100102-ESCORREDOR DE PRATOS</t>
  </si>
  <si>
    <t>10020X-PORTA COPOS</t>
  </si>
  <si>
    <t>10020-FRUTEIRA 3 ANDARES</t>
  </si>
  <si>
    <t>205-PORTA SHAMPOO</t>
  </si>
  <si>
    <t>1934-CANTONEIRA 2 ANDARES</t>
  </si>
  <si>
    <t>CALCULAR OS "ANOS" DE TRABALHO. O COLABORADOR PODE ESTAR ATIVO</t>
  </si>
  <si>
    <t>OU TER SIDO DESLIGADO</t>
  </si>
  <si>
    <t>TEMPO DE TRABALHO</t>
  </si>
  <si>
    <t>DATA ADMISSÃO</t>
  </si>
  <si>
    <t>DATA DESLIGAMENTO</t>
  </si>
  <si>
    <t>EDUARDO SANTOS SILVA</t>
  </si>
  <si>
    <t>JÉSSICA MEDEIROS LIMA</t>
  </si>
  <si>
    <t>RAQUEL DE QUEIROZ</t>
  </si>
  <si>
    <t>BERNARDO ALBUQUERQUE</t>
  </si>
  <si>
    <t>ROBERTO DIAS VALE</t>
  </si>
  <si>
    <t>MARIANA MOREIRA MATOS</t>
  </si>
  <si>
    <t>FERNANDA DE LIMA</t>
  </si>
  <si>
    <t>EXTRAIR DA OCORRÊNCIA A DATA DA NOTA FISCAL</t>
  </si>
  <si>
    <t>DESCRIÇÃO DA OCORRÊNCIA</t>
  </si>
  <si>
    <t>NF</t>
  </si>
  <si>
    <t>REF VALOR COBRADO A MENOR NF 18715 DE 06/01/18</t>
  </si>
  <si>
    <t>CANCELAMENTO NF 19907 DE 12/01/18 BONIFICAÇÃO</t>
  </si>
  <si>
    <t>NF 19803 SUBSTITUIÇÃO 08/01/18 MERCADORIA DEVOLVIDA</t>
  </si>
  <si>
    <t>AJUSTE NF 19713 CANCELADA EM 13/01/18</t>
  </si>
  <si>
    <t>COMPLEMENTO NF 19715 MERCADOR FALTANTE ENTREGA 22/01/18</t>
  </si>
  <si>
    <t>NF 19734 MOSTRUARIO DEVOLVIDO EM 18/01/18</t>
  </si>
  <si>
    <t>EXT.TEXTO() + PROCURAR() + LOCALIZAR()</t>
  </si>
  <si>
    <t>PRODUTOS</t>
  </si>
  <si>
    <t>QTDE</t>
  </si>
  <si>
    <t>CERVEJA SKOL</t>
  </si>
  <si>
    <t>RESUMO</t>
  </si>
  <si>
    <t>REFRIGERANTE</t>
  </si>
  <si>
    <t>CERVEJA</t>
  </si>
  <si>
    <t>ENERGÉTICO</t>
  </si>
  <si>
    <t>CERVEJA CORONA</t>
  </si>
  <si>
    <t>CERVEJA BUDWEISER</t>
  </si>
  <si>
    <t>SE(E(</t>
  </si>
  <si>
    <t>CALCULAR 5% DE DESCONTO PARA COMPRAS DE MAT DE CONSTRUÇÃO</t>
  </si>
  <si>
    <t>VALOR DA COMPRA</t>
  </si>
  <si>
    <t>MATERIAL</t>
  </si>
  <si>
    <t>FORMA DE PAGTO</t>
  </si>
  <si>
    <t>DESCONTO</t>
  </si>
  <si>
    <t>ELÉTRICA</t>
  </si>
  <si>
    <t>A VISTA</t>
  </si>
  <si>
    <t>MAT CONSTRUÇÃO</t>
  </si>
  <si>
    <t>PARCELADO</t>
  </si>
  <si>
    <t>DECORAÇÃO</t>
  </si>
  <si>
    <t>OU PARA PAGAMENTO A VISTA</t>
  </si>
  <si>
    <t>CARRO</t>
  </si>
  <si>
    <t>Corresp</t>
  </si>
  <si>
    <t>=CORRESP("navio";W1:W5;0)</t>
  </si>
  <si>
    <t>CONCURSOS</t>
  </si>
  <si>
    <t>NOME</t>
  </si>
  <si>
    <t>INSCR.</t>
  </si>
  <si>
    <t>CARGO</t>
  </si>
  <si>
    <t>IDENTIDADE</t>
  </si>
  <si>
    <t>NOTA TOTAL</t>
  </si>
  <si>
    <t>CLAS.</t>
  </si>
  <si>
    <t>NAVIO</t>
  </si>
  <si>
    <t>Indice</t>
  </si>
  <si>
    <t>=ÍNDICE(W1:W5;Y1)</t>
  </si>
  <si>
    <t>CANDIDATOS APROVADOS</t>
  </si>
  <si>
    <t>ABADIA APARECIDA ARAUJO DA COSTA</t>
  </si>
  <si>
    <t>SERVENTE</t>
  </si>
  <si>
    <t>M4237327</t>
  </si>
  <si>
    <t>BICICLETA</t>
  </si>
  <si>
    <t>AFONSINA CAMILA DA SILVA GOMES</t>
  </si>
  <si>
    <t>MG3060441</t>
  </si>
  <si>
    <t>MOTO</t>
  </si>
  <si>
    <r>
      <t xml:space="preserve">INSCRIÇÃO </t>
    </r>
    <r>
      <rPr>
        <b/>
        <sz val="10"/>
        <color theme="0"/>
        <rFont val="Wingdings"/>
        <charset val="2"/>
      </rPr>
      <t>â</t>
    </r>
  </si>
  <si>
    <t>NOTA</t>
  </si>
  <si>
    <t>ALESSANDRA CONSUELO XAVIER BRUNO</t>
  </si>
  <si>
    <t>ATENDENTE DE ATIVIDADES DE SAUDE</t>
  </si>
  <si>
    <t>M6178235</t>
  </si>
  <si>
    <t>FOGUETE</t>
  </si>
  <si>
    <t>ALFREDO ALEXANDRE MULLER</t>
  </si>
  <si>
    <t>RECEPCIONISTA</t>
  </si>
  <si>
    <t>M4601322</t>
  </si>
  <si>
    <t>ANA BARBARA APARECIDA COPATI</t>
  </si>
  <si>
    <t>COPEIRA</t>
  </si>
  <si>
    <t>MG14351309</t>
  </si>
  <si>
    <t>ANTONIA ALVES TEIXEIRA</t>
  </si>
  <si>
    <t>MG6691016</t>
  </si>
  <si>
    <t>ARLINDO DONIZETE RABELO</t>
  </si>
  <si>
    <t>M2440654</t>
  </si>
  <si>
    <t>CLAUDIA CYNTIA MASCARENHAS</t>
  </si>
  <si>
    <t>AUXILIAR DE SERVICOS</t>
  </si>
  <si>
    <t>M6249200</t>
  </si>
  <si>
    <t>CLAUDIA MARIA PEIXOTO DE MELO</t>
  </si>
  <si>
    <t>MEDICO AUDITOR</t>
  </si>
  <si>
    <t>M3451703</t>
  </si>
  <si>
    <t>CRISTIANE DAS GRACAS BRUNO</t>
  </si>
  <si>
    <t>M4114269</t>
  </si>
  <si>
    <t>DAVID EUSTAQUIO DA SILVA</t>
  </si>
  <si>
    <t>MOTORISTA/CARTEIRA DI</t>
  </si>
  <si>
    <t>M7877625</t>
  </si>
  <si>
    <t>ED WILSON MARTINS BORGES</t>
  </si>
  <si>
    <t>M5543912</t>
  </si>
  <si>
    <t>EDILAINE LETICIA DA SILVA</t>
  </si>
  <si>
    <t>MG13308817</t>
  </si>
  <si>
    <t>EDMARA ROSA DA SILVA</t>
  </si>
  <si>
    <t>M683482</t>
  </si>
  <si>
    <t>EDSON PEREIRA DA SILVA</t>
  </si>
  <si>
    <t>MG14356815</t>
  </si>
  <si>
    <t>ELENI MARTINS</t>
  </si>
  <si>
    <t>M6835379</t>
  </si>
  <si>
    <t>ELIANE APARECIDA DE AGUIAR LIMA</t>
  </si>
  <si>
    <t>MG5192958</t>
  </si>
  <si>
    <t>FLAVIANA MAGDA DE MENEZES</t>
  </si>
  <si>
    <t>M6945003</t>
  </si>
  <si>
    <t>GERCON VIEIRA DA SILVA</t>
  </si>
  <si>
    <t>VIGIA</t>
  </si>
  <si>
    <t>M1363655</t>
  </si>
  <si>
    <t>GILVANE PEREIRA DOS SANTOS DE SOUZA</t>
  </si>
  <si>
    <t>MG10558928</t>
  </si>
  <si>
    <t>GRACIELA CRISTINA DE MENEZES</t>
  </si>
  <si>
    <t>JORGE MANASSES CRISTALINO</t>
  </si>
  <si>
    <t>M1437063</t>
  </si>
  <si>
    <t>BA</t>
  </si>
  <si>
    <t>Enlatados</t>
  </si>
  <si>
    <t>SP</t>
  </si>
  <si>
    <t>Frios</t>
  </si>
  <si>
    <t>RJ</t>
  </si>
  <si>
    <t>SE</t>
  </si>
  <si>
    <t>Mercearia</t>
  </si>
  <si>
    <t>MG</t>
  </si>
  <si>
    <t>Temperos</t>
  </si>
  <si>
    <t>Roupas</t>
  </si>
  <si>
    <t>MA</t>
  </si>
  <si>
    <t>CE</t>
  </si>
  <si>
    <t>PA</t>
  </si>
  <si>
    <t>Reajuste</t>
  </si>
  <si>
    <t>Estado</t>
  </si>
  <si>
    <t>Preço Reajustado</t>
  </si>
  <si>
    <t>Preço</t>
  </si>
  <si>
    <t>Origem</t>
  </si>
  <si>
    <t>Produto</t>
  </si>
  <si>
    <t>Tabela de Reajuste por Estado</t>
  </si>
  <si>
    <t>CONSIDERANDO O ESTADO DE ORIGEM</t>
  </si>
  <si>
    <t>USANDO PROCV, CALCULE O VALOR REAJUSTADO DE CADA LINHA ABAIXO</t>
  </si>
  <si>
    <t>Funções de texto</t>
  </si>
  <si>
    <t>Esquerda()</t>
  </si>
  <si>
    <t>Direita()</t>
  </si>
  <si>
    <t>Ext.Texto()</t>
  </si>
  <si>
    <t>Texto()</t>
  </si>
  <si>
    <t xml:space="preserve">Extrai caracteres do lado esquerdo da célula </t>
  </si>
  <si>
    <t>Onde devemos escolher a qtd. De caracteres.</t>
  </si>
  <si>
    <t xml:space="preserve">EX.: </t>
  </si>
  <si>
    <t>CENTRO DE CUSTO</t>
  </si>
  <si>
    <t xml:space="preserve">COLABORADORES: </t>
  </si>
  <si>
    <t xml:space="preserve">CAIO LIMA </t>
  </si>
  <si>
    <t xml:space="preserve">CAIO SILVA </t>
  </si>
  <si>
    <t xml:space="preserve">ROSANGELA PEREIRA </t>
  </si>
  <si>
    <t xml:space="preserve">WINDSOR OLIVEIRA </t>
  </si>
  <si>
    <t xml:space="preserve">FERNANDO BUSQUILHA </t>
  </si>
  <si>
    <t>EGILDO LIRA</t>
  </si>
  <si>
    <t>1º NOME</t>
  </si>
  <si>
    <t>Adriana Amorim</t>
  </si>
  <si>
    <t xml:space="preserve">OBS.: Ir até o espaço </t>
  </si>
  <si>
    <t xml:space="preserve">utilizar o &amp;, pois ele concatena a fórmula </t>
  </si>
  <si>
    <t>FILIAL</t>
  </si>
  <si>
    <t>DF</t>
  </si>
  <si>
    <t>TO</t>
  </si>
  <si>
    <t>Antonio</t>
  </si>
  <si>
    <t>Carla</t>
  </si>
  <si>
    <t>Humberto</t>
  </si>
  <si>
    <t>Cleide</t>
  </si>
  <si>
    <t>Marcos</t>
  </si>
  <si>
    <t>maneira 1</t>
  </si>
  <si>
    <t>maneira 2</t>
  </si>
  <si>
    <t>Primeiro nome-dep</t>
  </si>
  <si>
    <t>Primeiro nome-dep (MAIUSCULO)</t>
  </si>
  <si>
    <t xml:space="preserve">Extrai o que está no meio do texto </t>
  </si>
  <si>
    <t>Em tempo de coleta de dados</t>
  </si>
  <si>
    <t xml:space="preserve">EX.: extrais a plalavra coleta </t>
  </si>
  <si>
    <t>ou</t>
  </si>
  <si>
    <t>No dia 18/02/2021 foi retirado 100 unidades de Latex HMX</t>
  </si>
  <si>
    <t>O colaborador Paulo retirou 250 unidades de Latex HMX em 18/02/2021</t>
  </si>
  <si>
    <t>Saída de estoque: 200 unidades, data 18/02/2021, Produto: Latex HMK</t>
  </si>
  <si>
    <t>DATA DA OCORRÊNCIA</t>
  </si>
  <si>
    <t>EX.: TEXTO</t>
  </si>
  <si>
    <t>Código</t>
  </si>
  <si>
    <t>Devolução item 10.01.02-7 por defeito de fábrica</t>
  </si>
  <si>
    <t xml:space="preserve">Substituição de mercadoria item 10.03.04-X erro no pedido </t>
  </si>
  <si>
    <t>Ordem de fabricação para item 10.07.08 em 06/03/2021</t>
  </si>
  <si>
    <t xml:space="preserve">ou </t>
  </si>
  <si>
    <t>ex,texto + procurar</t>
  </si>
  <si>
    <t xml:space="preserve">o comando procurar funciona só da Esquerda para direita </t>
  </si>
  <si>
    <t>P/C</t>
  </si>
  <si>
    <t>Resolve com formatação de células</t>
  </si>
  <si>
    <t>Formato padrão (não resolve: HH:MM)</t>
  </si>
  <si>
    <t>Formato personalizado (resolve: [HH]:MM)</t>
  </si>
  <si>
    <t>ir no formato (na pag. Inicial) - personalizado</t>
  </si>
  <si>
    <t>sempre multiplicar por 24 a Célula que soma horas.</t>
  </si>
  <si>
    <t>em revisão: mostrar todos os comentários</t>
  </si>
  <si>
    <t>DATADIF_3=DATADIF1</t>
  </si>
  <si>
    <t>DATA&lt;;DATA&gt;;"Y" de years (anos)</t>
  </si>
  <si>
    <t>VALOR INST.</t>
  </si>
  <si>
    <t>VALOR MENSAL</t>
  </si>
  <si>
    <t>5 anos</t>
  </si>
  <si>
    <t>Para cada mês de vida de Bernardo, seu pai guardou $10,00.</t>
  </si>
  <si>
    <t>Bernartdo nasceu no dia 11/06/1971. Sem contar Juros, quanto dinheiro ele tem até hoje ?</t>
  </si>
  <si>
    <t xml:space="preserve">DATA ATUAL </t>
  </si>
  <si>
    <t>NASCIMENTO</t>
  </si>
  <si>
    <t>$</t>
  </si>
  <si>
    <t>SE e HOJE</t>
  </si>
  <si>
    <t xml:space="preserve">Como perguntar se a Cél. Está vazia ? </t>
  </si>
  <si>
    <t>=W21=""</t>
  </si>
  <si>
    <t>=W21=0</t>
  </si>
  <si>
    <t>=ÉCÉL.VAZIA(W21)</t>
  </si>
  <si>
    <t>ANOS-2 forma</t>
  </si>
  <si>
    <t>DIAS- 2 forma</t>
  </si>
  <si>
    <t>MESES - 2 forma</t>
  </si>
  <si>
    <t xml:space="preserve">por que devemos seguir a sequência lógica das funções ? </t>
  </si>
  <si>
    <t>R: criando uma função com parâmetros.</t>
  </si>
  <si>
    <t>Peso</t>
  </si>
  <si>
    <t xml:space="preserve">Altura </t>
  </si>
  <si>
    <t>IMC</t>
  </si>
  <si>
    <t>F9 recalcula excel</t>
  </si>
  <si>
    <t>F5 para atualizar macro</t>
  </si>
  <si>
    <t>EX.2.:</t>
  </si>
  <si>
    <t xml:space="preserve">VENCIDO 2 </t>
  </si>
  <si>
    <t>VALOR c/ DESCONTO</t>
  </si>
  <si>
    <t>Trabalhando com gráficos no excel</t>
  </si>
  <si>
    <t>Coluna</t>
  </si>
  <si>
    <t>Energia elétrica</t>
  </si>
  <si>
    <t>Conta:</t>
  </si>
  <si>
    <t>Ano:</t>
  </si>
  <si>
    <t>Total de gastos:</t>
  </si>
  <si>
    <t>Despesas c/ energia elétrica</t>
  </si>
  <si>
    <t xml:space="preserve">Período 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</si>
  <si>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</si>
  <si>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</si>
  <si>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</si>
  <si>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</si>
  <si>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</si>
  <si>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</si>
  <si>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</si>
  <si>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</si>
  <si>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</si>
  <si>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</si>
  <si>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</si>
  <si>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</si>
  <si>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Média mês:</t>
  </si>
  <si>
    <t>% Mês</t>
  </si>
  <si>
    <t>Média</t>
  </si>
  <si>
    <t>Criação de gráfico de rosca</t>
  </si>
  <si>
    <t>Propósito:</t>
  </si>
  <si>
    <t>MKT p/ produtos</t>
  </si>
  <si>
    <t>Valor budget:</t>
  </si>
  <si>
    <t>Período</t>
  </si>
  <si>
    <t>Consumo</t>
  </si>
  <si>
    <t xml:space="preserve">Acumulado 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</si>
  <si>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</si>
  <si>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</si>
  <si>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</si>
  <si>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</si>
  <si>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</si>
  <si>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</si>
  <si>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</si>
  <si>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</si>
  <si>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</si>
  <si>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</si>
  <si>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</si>
  <si>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</si>
  <si>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DADOS p/ o gráfico</t>
  </si>
  <si>
    <t>CONSUMIDO</t>
  </si>
  <si>
    <t>%CONSUMIDA</t>
  </si>
  <si>
    <t>PROCV com coluna dinamica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</si>
  <si>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</si>
  <si>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</si>
  <si>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</si>
  <si>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</si>
  <si>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</si>
  <si>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</si>
  <si>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</si>
  <si>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</si>
  <si>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</si>
  <si>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</si>
  <si>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valor</t>
  </si>
  <si>
    <t>NCM</t>
  </si>
  <si>
    <t>Estoque</t>
  </si>
  <si>
    <t>Tipo</t>
  </si>
  <si>
    <t>caixa</t>
  </si>
  <si>
    <t xml:space="preserve">Formataçã ocondicional: casos mais comuns </t>
  </si>
  <si>
    <t xml:space="preserve">Analisando a conta de enregia elétrica: </t>
  </si>
  <si>
    <t xml:space="preserve">valor </t>
  </si>
  <si>
    <t xml:space="preserve">indidcador </t>
  </si>
  <si>
    <t>2020</t>
  </si>
  <si>
    <t>Total</t>
  </si>
  <si>
    <t>Exemplo 1</t>
  </si>
  <si>
    <t>Exemplo 2</t>
  </si>
  <si>
    <t>Exemplo 3</t>
  </si>
  <si>
    <t>Exemplo 4</t>
  </si>
  <si>
    <t xml:space="preserve">analisar o mês que fugiu da média </t>
  </si>
  <si>
    <t xml:space="preserve">caso passar da média </t>
  </si>
  <si>
    <t>Exemplo 5</t>
  </si>
  <si>
    <t>Exemplo 6</t>
  </si>
  <si>
    <t>0 = vermelho</t>
  </si>
  <si>
    <t>1 = verde</t>
  </si>
  <si>
    <t>Verde não interessa, quero analisar o vermelho;</t>
  </si>
  <si>
    <t>Exemplo 7</t>
  </si>
  <si>
    <t xml:space="preserve">PLANILHA DE ACOMPANHAMENTO DE OBRIGAÇÕES A PAGAR </t>
  </si>
  <si>
    <t>doc</t>
  </si>
  <si>
    <t xml:space="preserve">vencimento </t>
  </si>
  <si>
    <t xml:space="preserve">indicador </t>
  </si>
  <si>
    <t>se a distancia entre hoje for &gt; 8 dias "VERDE"</t>
  </si>
  <si>
    <t>Se a distancia entre hoje for &lt; 2 dias "Vermelho"</t>
  </si>
  <si>
    <t xml:space="preserve">entre = amarelo - 8 &lt; data de hoje &lt; 2 </t>
  </si>
  <si>
    <t>3 = verde</t>
  </si>
  <si>
    <t>1= vermelho</t>
  </si>
  <si>
    <t>2 = amarelo</t>
  </si>
  <si>
    <t>Empresa modelo LTDA 1</t>
  </si>
  <si>
    <t xml:space="preserve">Empresa modelo LTDA 2 </t>
  </si>
  <si>
    <t xml:space="preserve">Data de PG. </t>
  </si>
  <si>
    <t>indicador 1</t>
  </si>
  <si>
    <t>indicador 2</t>
  </si>
  <si>
    <t xml:space="preserve">Principais comandos </t>
  </si>
  <si>
    <t xml:space="preserve">automatizar planilhas </t>
  </si>
  <si>
    <t>VBA (Visual basic application - linguagem usada para escrever sequências de instruções)</t>
  </si>
  <si>
    <t>Estas sequências são chamadas de macro e a planilha precisa estar preparada para gravas arquivos em macro.</t>
  </si>
  <si>
    <t xml:space="preserve">Os arquivos precisam ter extensão XLSM - XLXS é o formato normal s/ macro </t>
  </si>
  <si>
    <t>Ambiente VBE (Visual basic editor)</t>
  </si>
  <si>
    <t xml:space="preserve">Comando </t>
  </si>
  <si>
    <t xml:space="preserve">como usar </t>
  </si>
  <si>
    <t>Sub</t>
  </si>
  <si>
    <t>Criação de Macros (ALT F8 mostra as macros)</t>
  </si>
  <si>
    <t>Sheets</t>
  </si>
  <si>
    <t>Cells</t>
  </si>
  <si>
    <t>Atividades com planilhas = sheets("nome da planilha").select</t>
  </si>
  <si>
    <t>Empresa modelo LTDA</t>
  </si>
  <si>
    <t>Apuração de vendas</t>
  </si>
  <si>
    <t>vendedor</t>
  </si>
  <si>
    <t>Meta</t>
  </si>
  <si>
    <t>Realizado</t>
  </si>
  <si>
    <t>Comissão</t>
  </si>
  <si>
    <t>Prêmio</t>
  </si>
  <si>
    <t>Sal. Fixo</t>
  </si>
  <si>
    <t>Receber</t>
  </si>
  <si>
    <t>Font</t>
  </si>
  <si>
    <t>Atividades com células = cells(lina,coluna).value = "o que queremos"</t>
  </si>
  <si>
    <t>Range</t>
  </si>
  <si>
    <t>Formatar fonte (maíuscula/minúscula)</t>
  </si>
  <si>
    <t>OBS</t>
  </si>
  <si>
    <t>Atividades com células mais limitadas que o cells - Range("A4:H4")</t>
  </si>
  <si>
    <t>Vendedores</t>
  </si>
  <si>
    <t>Caio</t>
  </si>
  <si>
    <t xml:space="preserve">Pedro </t>
  </si>
  <si>
    <t>Matheus</t>
  </si>
  <si>
    <t>copy and paste</t>
  </si>
  <si>
    <t>clear</t>
  </si>
  <si>
    <t>Comandos para copiar e colar, recomenda-se apagar qql texto anterior antes de colar</t>
  </si>
  <si>
    <t>usado para limpar células</t>
  </si>
  <si>
    <t xml:space="preserve">Salvar o arquivo inteiro </t>
  </si>
  <si>
    <t>ActiveWorkBook.save</t>
  </si>
  <si>
    <t>Carlos</t>
  </si>
  <si>
    <t>João</t>
  </si>
  <si>
    <t>Felipe</t>
  </si>
  <si>
    <t xml:space="preserve">Léo </t>
  </si>
  <si>
    <t>Fabiano</t>
  </si>
  <si>
    <t>Parâmetros de Vendas - Mensal</t>
  </si>
  <si>
    <t>Meta do mês</t>
  </si>
  <si>
    <t>While ... End</t>
  </si>
  <si>
    <t>Usado para fazer looping (Processo em um determinado tempo lógico) - tem começo e fim</t>
  </si>
  <si>
    <t>USA O F8</t>
  </si>
  <si>
    <t>Dim</t>
  </si>
  <si>
    <t>Comando para criar variáveis</t>
  </si>
  <si>
    <t>Mariana</t>
  </si>
  <si>
    <t>não reconhece intervalos- ex. CELLS(1,"A").Font.name = "arial" - fariamos para cada um, mas pode variar lina X coluna</t>
  </si>
  <si>
    <t>Reconhece intervalos - Range("A4:H4"), mas não varia lina X coluna</t>
  </si>
  <si>
    <t>Claudia</t>
  </si>
  <si>
    <t>Luane</t>
  </si>
  <si>
    <t>Michele</t>
  </si>
  <si>
    <t>Atingimento</t>
  </si>
  <si>
    <t>Celso</t>
  </si>
  <si>
    <t xml:space="preserve">Vendedor </t>
  </si>
  <si>
    <t>Valor vendido</t>
  </si>
  <si>
    <t>FormulaLocal</t>
  </si>
  <si>
    <t>usado para inserir fórmulas na célula</t>
  </si>
  <si>
    <t>IF ou Se</t>
  </si>
  <si>
    <t xml:space="preserve">Usado para criar lógicas </t>
  </si>
  <si>
    <t>Salário Fixo</t>
  </si>
  <si>
    <t>Totais</t>
  </si>
  <si>
    <t>Documento</t>
  </si>
  <si>
    <t>Valor</t>
  </si>
  <si>
    <t>Débito</t>
  </si>
  <si>
    <t>Crédito</t>
  </si>
  <si>
    <t>Crédito(+)/Débito(-)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</si>
</sst>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@* \:"/>
    <numFmt numFmtId="165" formatCode="dd\-mm\-yy"/>
    <numFmt numFmtId="166" formatCode="_-* #,##0_-;\-* #,##0_-;_-* &quot;-&quot;??_-;_-@_-"/>
    <numFmt numFmtId="167" formatCode="[hh]:mm"/>
    <numFmt numFmtId="168" formatCode="&quot;R$&quot;\ #,##0.00"/>
    <numFmt numFmtId="169" formatCode="_(&quot;R$ &quot;* #,##0.00_);_(&quot;R$ &quot;* \(#,##0.00\);_(&quot;R$ &quot;* &quot;-&quot;??_);_(@_)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i/>
      <sz val="10"/>
      <color theme="4" tint="-0.249977111117893"/>
      <name val="Calibri"/>
      <family val="2"/>
      <scheme val="minor"/>
    </font>
    <font>
      <b/>
      <i/>
      <sz val="10"/>
      <color rgb="FFFFC000"/>
      <name val="Calibri"/>
      <family val="2"/>
      <scheme val="minor"/>
    </font>
    <font>
      <b/>
      <i/>
      <sz val="10"/>
      <color theme="9" tint="-0.249977111117893"/>
      <name val="Calibri"/>
      <family val="2"/>
      <scheme val="minor"/>
    </font>
    <font>
      <sz val="9"/>
      <color indexed="81"/>
      <name val="Segoe UI"/>
      <family val="2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C00000"/>
      <name val="Calibri"/>
      <family val="2"/>
    </font>
    <font>
      <b/>
      <sz val="22"/>
      <color theme="1"/>
      <name val="Calibri"/>
      <family val="2"/>
    </font>
    <font>
      <sz val="10"/>
      <name val="Calibri"/>
      <family val="2"/>
    </font>
    <font>
      <b/>
      <sz val="12"/>
      <color theme="1"/>
      <name val="Calibri"/>
      <family val="2"/>
    </font>
    <font>
      <sz val="10"/>
      <color theme="0"/>
      <name val="Calibri"/>
      <family val="2"/>
    </font>
    <font>
      <b/>
      <sz val="11"/>
      <color theme="1"/>
      <name val="Calibri"/>
      <family val="2"/>
    </font>
    <font>
      <b/>
      <sz val="11"/>
      <name val="Calibri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color theme="0"/>
      <name val="Wingdings"/>
      <charset val="2"/>
    </font>
    <font>
      <sz val="12"/>
      <color theme="1"/>
      <name val="Calibri"/>
      <family val="2"/>
    </font>
    <font>
      <b/>
      <sz val="9"/>
      <color indexed="81"/>
      <name val="Segoe U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0"/>
      <name val="Calibri"/>
      <family val="2"/>
    </font>
    <font>
      <sz val="11"/>
      <color theme="9" tint="-0.499984740745262"/>
      <name val="Calibri"/>
      <family val="2"/>
      <scheme val="minor"/>
    </font>
    <font>
      <sz val="11"/>
      <color theme="1"/>
      <name val="12"/>
    </font>
    <font>
      <b/>
      <sz val="11"/>
      <color rgb="FF0033CC"/>
      <name val="1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12"/>
    </font>
    <font>
      <b/>
      <sz val="12"/>
      <color rgb="FF0033CC"/>
      <name val="12"/>
    </font>
    <font>
      <b/>
      <sz val="14"/>
      <color rgb="FF0033CC"/>
      <name val="12"/>
    </font>
    <font>
      <sz val="11"/>
      <color rgb="FF000000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C6EFCE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DDDD3"/>
        <bgColor indexed="64"/>
      </patternFill>
    </fill>
    <fill>
      <patternFill patternType="solid">
        <fgColor rgb="FF0033CC"/>
        <bgColor indexed="64"/>
      </patternFill>
    </fill>
  </fills>
  <borders count="76">
    <border>
      <left/>
      <right/>
      <top/>
      <bottom/>
      <diagonal/>
    </border>
    <border>
      <left style="thin">
        <color theme="8" tint="0.39994506668294322"/>
      </left>
      <right/>
      <top style="thin">
        <color theme="8" tint="0.39994506668294322"/>
      </top>
      <bottom/>
      <diagonal/>
    </border>
    <border>
      <left/>
      <right/>
      <top style="thin">
        <color theme="8" tint="0.39994506668294322"/>
      </top>
      <bottom/>
      <diagonal/>
    </border>
    <border>
      <left/>
      <right style="thin">
        <color theme="8" tint="0.39994506668294322"/>
      </right>
      <top style="thin">
        <color theme="8" tint="0.39994506668294322"/>
      </top>
      <bottom/>
      <diagonal/>
    </border>
    <border>
      <left style="thin">
        <color theme="8" tint="0.39994506668294322"/>
      </left>
      <right/>
      <top/>
      <bottom/>
      <diagonal/>
    </border>
    <border>
      <left/>
      <right style="thin">
        <color theme="8" tint="0.39994506668294322"/>
      </right>
      <top/>
      <bottom/>
      <diagonal/>
    </border>
    <border>
      <left style="thin">
        <color theme="8" tint="0.39994506668294322"/>
      </left>
      <right/>
      <top/>
      <bottom style="thin">
        <color theme="8" tint="0.39991454817346722"/>
      </bottom>
      <diagonal/>
    </border>
    <border>
      <left/>
      <right/>
      <top/>
      <bottom style="thin">
        <color theme="8" tint="0.39991454817346722"/>
      </bottom>
      <diagonal/>
    </border>
    <border>
      <left/>
      <right style="thin">
        <color theme="8" tint="0.39994506668294322"/>
      </right>
      <top/>
      <bottom style="thin">
        <color theme="8" tint="0.399914548173467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8" tint="0.39994506668294322"/>
      </left>
      <right/>
      <top/>
      <bottom style="thin">
        <color theme="8" tint="0.39994506668294322"/>
      </bottom>
      <diagonal/>
    </border>
    <border>
      <left/>
      <right/>
      <top/>
      <bottom style="thin">
        <color theme="8" tint="0.39994506668294322"/>
      </bottom>
      <diagonal/>
    </border>
    <border>
      <left/>
      <right style="thin">
        <color theme="8" tint="0.39994506668294322"/>
      </right>
      <top/>
      <bottom style="thin">
        <color theme="8" tint="0.39994506668294322"/>
      </bottom>
      <diagonal/>
    </border>
    <border>
      <left style="thin">
        <color theme="8" tint="0.39994506668294322"/>
      </left>
      <right/>
      <top style="thin">
        <color theme="8" tint="0.39991454817346722"/>
      </top>
      <bottom/>
      <diagonal/>
    </border>
    <border>
      <left/>
      <right/>
      <top style="thin">
        <color theme="8" tint="0.39991454817346722"/>
      </top>
      <bottom/>
      <diagonal/>
    </border>
    <border>
      <left/>
      <right style="thin">
        <color theme="8" tint="0.39988402966399123"/>
      </right>
      <top style="thin">
        <color theme="8" tint="0.39991454817346722"/>
      </top>
      <bottom/>
      <diagonal/>
    </border>
    <border>
      <left/>
      <right style="thin">
        <color theme="8" tint="0.39988402966399123"/>
      </right>
      <top/>
      <bottom/>
      <diagonal/>
    </border>
    <border>
      <left/>
      <right style="thin">
        <color theme="8" tint="0.39988402966399123"/>
      </right>
      <top/>
      <bottom style="thin">
        <color theme="8" tint="0.39985351115451523"/>
      </bottom>
      <diagonal/>
    </border>
    <border>
      <left style="dotted">
        <color theme="8" tint="0.39988402966399123"/>
      </left>
      <right/>
      <top/>
      <bottom/>
      <diagonal/>
    </border>
    <border>
      <left style="dotted">
        <color theme="8" tint="0.39988402966399123"/>
      </left>
      <right style="dotted">
        <color theme="8" tint="0.39985351115451523"/>
      </right>
      <top style="dotted">
        <color theme="8" tint="0.39985351115451523"/>
      </top>
      <bottom style="dotted">
        <color theme="8" tint="0.39985351115451523"/>
      </bottom>
      <diagonal/>
    </border>
    <border>
      <left style="dotted">
        <color theme="8" tint="0.39985351115451523"/>
      </left>
      <right style="dotted">
        <color theme="8" tint="0.39985351115451523"/>
      </right>
      <top style="dotted">
        <color theme="8" tint="0.39985351115451523"/>
      </top>
      <bottom style="dotted">
        <color theme="8" tint="0.39985351115451523"/>
      </bottom>
      <diagonal/>
    </border>
    <border>
      <left style="dotted">
        <color theme="8" tint="0.39988402966399123"/>
      </left>
      <right style="dotted">
        <color theme="8" tint="0.39985351115451523"/>
      </right>
      <top/>
      <bottom style="dotted">
        <color theme="8" tint="0.39985351115451523"/>
      </bottom>
      <diagonal/>
    </border>
    <border>
      <left style="dotted">
        <color theme="8" tint="0.39985351115451523"/>
      </left>
      <right style="dotted">
        <color theme="8" tint="0.39985351115451523"/>
      </right>
      <top/>
      <bottom style="dotted">
        <color theme="8" tint="0.39985351115451523"/>
      </bottom>
      <diagonal/>
    </border>
    <border>
      <left style="dotted">
        <color theme="8" tint="0.39988402966399123"/>
      </left>
      <right/>
      <top/>
      <bottom style="thin">
        <color theme="8" tint="0.39994506668294322"/>
      </bottom>
      <diagonal/>
    </border>
    <border>
      <left/>
      <right style="thin">
        <color theme="8" tint="0.39988402966399123"/>
      </right>
      <top/>
      <bottom style="thin">
        <color theme="8" tint="0.39994506668294322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4" tint="-0.2499465926084170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0033CC"/>
      </left>
      <right style="thin">
        <color rgb="FF0033CC"/>
      </right>
      <top style="thin">
        <color rgb="FF0033CC"/>
      </top>
      <bottom style="thin">
        <color rgb="FF0033CC"/>
      </bottom>
      <diagonal/>
    </border>
  </borders>
  <cellStyleXfs count="15">
    <xf numFmtId="0" fontId="0" fillId="0" borderId="0"/>
    <xf numFmtId="0" fontId="3" fillId="0" borderId="0"/>
    <xf numFmtId="43" fontId="3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0" fillId="0" borderId="0"/>
    <xf numFmtId="44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6" fillId="24" borderId="0" applyNumberFormat="0" applyBorder="0" applyAlignment="0" applyProtection="0"/>
  </cellStyleXfs>
  <cellXfs count="353">
    <xf numFmtId="0" fontId="0" fillId="0" borderId="0" xfId="0"/>
    <xf numFmtId="0" fontId="3" fillId="2" borderId="1" xfId="1" applyFill="1" applyBorder="1" applyAlignment="1">
      <alignment horizontal="left" vertical="center"/>
    </xf>
    <xf numFmtId="0" fontId="4" fillId="2" borderId="2" xfId="1" applyFont="1" applyFill="1" applyBorder="1" applyAlignment="1">
      <alignment horizontal="left" vertical="center"/>
    </xf>
    <xf numFmtId="0" fontId="3" fillId="2" borderId="2" xfId="1" applyFill="1" applyBorder="1" applyAlignment="1">
      <alignment horizontal="left" vertical="center"/>
    </xf>
    <xf numFmtId="0" fontId="3" fillId="2" borderId="3" xfId="1" applyFill="1" applyBorder="1" applyAlignment="1">
      <alignment horizontal="left" vertical="center"/>
    </xf>
    <xf numFmtId="0" fontId="3" fillId="0" borderId="0" xfId="1" applyAlignment="1">
      <alignment horizontal="left" vertical="center"/>
    </xf>
    <xf numFmtId="0" fontId="3" fillId="0" borderId="4" xfId="1" applyBorder="1" applyAlignment="1">
      <alignment horizontal="left" vertical="center"/>
    </xf>
    <xf numFmtId="0" fontId="3" fillId="0" borderId="0" xfId="1" applyBorder="1" applyAlignment="1">
      <alignment horizontal="left" vertical="center"/>
    </xf>
    <xf numFmtId="0" fontId="3" fillId="0" borderId="5" xfId="1" applyBorder="1" applyAlignment="1">
      <alignment horizontal="left" vertical="center"/>
    </xf>
    <xf numFmtId="164" fontId="5" fillId="0" borderId="0" xfId="1" applyNumberFormat="1" applyFont="1" applyBorder="1" applyAlignment="1">
      <alignment horizontal="left" vertical="center"/>
    </xf>
    <xf numFmtId="0" fontId="6" fillId="0" borderId="0" xfId="1" quotePrefix="1" applyFont="1" applyBorder="1" applyAlignment="1">
      <alignment horizontal="left" vertical="center"/>
    </xf>
    <xf numFmtId="0" fontId="7" fillId="0" borderId="0" xfId="1" applyFont="1" applyBorder="1" applyAlignment="1">
      <alignment horizontal="left" vertical="center"/>
    </xf>
    <xf numFmtId="0" fontId="9" fillId="0" borderId="0" xfId="1" quotePrefix="1" applyFont="1" applyBorder="1" applyAlignment="1">
      <alignment horizontal="left" vertical="center"/>
    </xf>
    <xf numFmtId="0" fontId="3" fillId="0" borderId="6" xfId="1" applyBorder="1" applyAlignment="1">
      <alignment horizontal="left" vertical="center"/>
    </xf>
    <xf numFmtId="0" fontId="3" fillId="0" borderId="7" xfId="1" applyBorder="1" applyAlignment="1">
      <alignment horizontal="left" vertical="center"/>
    </xf>
    <xf numFmtId="0" fontId="3" fillId="0" borderId="8" xfId="1" applyBorder="1" applyAlignment="1">
      <alignment horizontal="left" vertical="center"/>
    </xf>
    <xf numFmtId="0" fontId="4" fillId="2" borderId="0" xfId="1" applyFont="1" applyFill="1" applyBorder="1" applyAlignment="1">
      <alignment horizontal="center" vertical="center"/>
    </xf>
    <xf numFmtId="0" fontId="3" fillId="3" borderId="9" xfId="1" applyFill="1" applyBorder="1" applyAlignment="1">
      <alignment horizontal="center" vertical="center"/>
    </xf>
    <xf numFmtId="0" fontId="3" fillId="4" borderId="9" xfId="1" applyFill="1" applyBorder="1" applyAlignment="1">
      <alignment horizontal="center" vertical="center"/>
    </xf>
    <xf numFmtId="0" fontId="3" fillId="5" borderId="9" xfId="1" applyFill="1" applyBorder="1" applyAlignment="1">
      <alignment horizontal="center" vertical="center"/>
    </xf>
    <xf numFmtId="0" fontId="3" fillId="0" borderId="9" xfId="1" applyBorder="1" applyAlignment="1">
      <alignment horizontal="left" vertical="center"/>
    </xf>
    <xf numFmtId="44" fontId="7" fillId="0" borderId="9" xfId="1" applyNumberFormat="1" applyFont="1" applyBorder="1" applyAlignment="1">
      <alignment horizontal="left" vertical="center"/>
    </xf>
    <xf numFmtId="165" fontId="3" fillId="0" borderId="9" xfId="1" applyNumberFormat="1" applyBorder="1" applyAlignment="1">
      <alignment horizontal="center" vertical="center"/>
    </xf>
    <xf numFmtId="165" fontId="3" fillId="4" borderId="9" xfId="1" applyNumberFormat="1" applyFill="1" applyBorder="1" applyAlignment="1">
      <alignment horizontal="left" vertical="center"/>
    </xf>
    <xf numFmtId="0" fontId="5" fillId="5" borderId="9" xfId="1" applyFont="1" applyFill="1" applyBorder="1" applyAlignment="1">
      <alignment horizontal="left" vertical="center"/>
    </xf>
    <xf numFmtId="0" fontId="3" fillId="0" borderId="10" xfId="1" applyBorder="1" applyAlignment="1">
      <alignment horizontal="left" vertical="center"/>
    </xf>
    <xf numFmtId="0" fontId="3" fillId="0" borderId="11" xfId="1" applyBorder="1" applyAlignment="1">
      <alignment horizontal="left" vertical="center"/>
    </xf>
    <xf numFmtId="0" fontId="3" fillId="0" borderId="12" xfId="1" applyBorder="1" applyAlignment="1">
      <alignment horizontal="left" vertical="center"/>
    </xf>
    <xf numFmtId="0" fontId="3" fillId="0" borderId="13" xfId="1" applyBorder="1" applyAlignment="1">
      <alignment horizontal="left" vertical="center"/>
    </xf>
    <xf numFmtId="0" fontId="3" fillId="0" borderId="14" xfId="1" applyBorder="1" applyAlignment="1">
      <alignment horizontal="left" vertical="center"/>
    </xf>
    <xf numFmtId="0" fontId="3" fillId="0" borderId="15" xfId="1" applyBorder="1" applyAlignment="1">
      <alignment horizontal="left" vertical="center"/>
    </xf>
    <xf numFmtId="0" fontId="3" fillId="0" borderId="16" xfId="1" applyBorder="1" applyAlignment="1">
      <alignment horizontal="left" vertical="center"/>
    </xf>
    <xf numFmtId="0" fontId="3" fillId="0" borderId="0" xfId="1"/>
    <xf numFmtId="0" fontId="3" fillId="0" borderId="17" xfId="1" applyBorder="1" applyAlignment="1">
      <alignment horizontal="left" vertical="center"/>
    </xf>
    <xf numFmtId="0" fontId="4" fillId="2" borderId="2" xfId="1" applyFont="1" applyFill="1" applyBorder="1" applyAlignment="1">
      <alignment horizontal="left" vertical="center" indent="1"/>
    </xf>
    <xf numFmtId="0" fontId="3" fillId="0" borderId="18" xfId="1" applyBorder="1" applyAlignment="1">
      <alignment horizontal="left" vertical="center" indent="2"/>
    </xf>
    <xf numFmtId="0" fontId="5" fillId="0" borderId="0" xfId="1" applyFont="1" applyAlignment="1">
      <alignment horizontal="left" vertical="center"/>
    </xf>
    <xf numFmtId="0" fontId="5" fillId="0" borderId="19" xfId="1" applyFont="1" applyBorder="1" applyAlignment="1">
      <alignment horizontal="center" vertical="center"/>
    </xf>
    <xf numFmtId="0" fontId="5" fillId="0" borderId="20" xfId="1" applyFont="1" applyBorder="1" applyAlignment="1">
      <alignment horizontal="center" vertical="center"/>
    </xf>
    <xf numFmtId="0" fontId="5" fillId="0" borderId="20" xfId="1" applyFont="1" applyBorder="1" applyAlignment="1">
      <alignment horizontal="left" vertical="center"/>
    </xf>
    <xf numFmtId="43" fontId="0" fillId="0" borderId="21" xfId="2" applyFont="1" applyBorder="1" applyAlignment="1">
      <alignment horizontal="left" vertical="center" indent="1"/>
    </xf>
    <xf numFmtId="43" fontId="0" fillId="0" borderId="22" xfId="2" applyFont="1" applyBorder="1" applyAlignment="1">
      <alignment horizontal="left" vertical="center"/>
    </xf>
    <xf numFmtId="0" fontId="3" fillId="0" borderId="22" xfId="1" applyBorder="1" applyAlignment="1">
      <alignment horizontal="left" vertical="center"/>
    </xf>
    <xf numFmtId="0" fontId="3" fillId="0" borderId="18" xfId="1" applyBorder="1" applyAlignment="1">
      <alignment horizontal="left" vertical="center" indent="1"/>
    </xf>
    <xf numFmtId="43" fontId="3" fillId="0" borderId="9" xfId="2" applyFont="1" applyBorder="1" applyAlignment="1">
      <alignment horizontal="left" vertical="center"/>
    </xf>
    <xf numFmtId="0" fontId="3" fillId="0" borderId="19" xfId="1" applyBorder="1" applyAlignment="1">
      <alignment horizontal="center" vertical="center"/>
    </xf>
    <xf numFmtId="0" fontId="3" fillId="0" borderId="20" xfId="1" applyBorder="1" applyAlignment="1">
      <alignment horizontal="center" vertical="center"/>
    </xf>
    <xf numFmtId="0" fontId="3" fillId="0" borderId="20" xfId="1" applyBorder="1" applyAlignment="1">
      <alignment horizontal="left" vertical="center"/>
    </xf>
    <xf numFmtId="0" fontId="3" fillId="0" borderId="19" xfId="1" applyBorder="1" applyAlignment="1">
      <alignment horizontal="left" vertical="center" indent="1"/>
    </xf>
    <xf numFmtId="0" fontId="3" fillId="0" borderId="23" xfId="1" applyBorder="1" applyAlignment="1">
      <alignment horizontal="left" vertical="center" indent="1"/>
    </xf>
    <xf numFmtId="0" fontId="3" fillId="0" borderId="24" xfId="1" applyBorder="1" applyAlignment="1">
      <alignment horizontal="left" vertical="center"/>
    </xf>
    <xf numFmtId="0" fontId="5" fillId="0" borderId="0" xfId="1" quotePrefix="1" applyFont="1" applyBorder="1" applyAlignment="1">
      <alignment horizontal="left" vertical="center"/>
    </xf>
    <xf numFmtId="0" fontId="4" fillId="2" borderId="2" xfId="1" applyFont="1" applyFill="1" applyBorder="1" applyAlignment="1">
      <alignment horizontal="center" vertical="center"/>
    </xf>
    <xf numFmtId="0" fontId="3" fillId="0" borderId="0" xfId="1" applyAlignment="1">
      <alignment horizontal="centerContinuous"/>
    </xf>
    <xf numFmtId="0" fontId="15" fillId="5" borderId="0" xfId="1" applyFont="1" applyFill="1" applyAlignment="1">
      <alignment horizontal="center" vertical="center"/>
    </xf>
    <xf numFmtId="0" fontId="3" fillId="4" borderId="25" xfId="1" applyFill="1" applyBorder="1" applyAlignment="1">
      <alignment horizontal="center" vertical="center"/>
    </xf>
    <xf numFmtId="165" fontId="5" fillId="0" borderId="0" xfId="1" applyNumberFormat="1" applyFont="1" applyAlignment="1">
      <alignment horizontal="center" vertical="center"/>
    </xf>
    <xf numFmtId="165" fontId="3" fillId="0" borderId="0" xfId="1" applyNumberFormat="1" applyAlignment="1">
      <alignment horizontal="center" vertical="center"/>
    </xf>
    <xf numFmtId="0" fontId="3" fillId="0" borderId="26" xfId="1" applyBorder="1" applyAlignment="1">
      <alignment horizontal="left" vertical="center"/>
    </xf>
    <xf numFmtId="0" fontId="3" fillId="0" borderId="27" xfId="1" applyBorder="1" applyAlignment="1">
      <alignment horizontal="left" vertical="center"/>
    </xf>
    <xf numFmtId="0" fontId="3" fillId="0" borderId="28" xfId="1" applyBorder="1" applyAlignment="1">
      <alignment horizontal="left" vertical="center"/>
    </xf>
    <xf numFmtId="0" fontId="3" fillId="0" borderId="29" xfId="1" applyBorder="1" applyAlignment="1">
      <alignment horizontal="left" vertical="center"/>
    </xf>
    <xf numFmtId="0" fontId="3" fillId="0" borderId="30" xfId="1" applyBorder="1" applyAlignment="1">
      <alignment horizontal="left" vertical="center"/>
    </xf>
    <xf numFmtId="0" fontId="3" fillId="5" borderId="9" xfId="1" applyFill="1" applyBorder="1" applyAlignment="1">
      <alignment horizontal="left" vertical="center"/>
    </xf>
    <xf numFmtId="165" fontId="3" fillId="0" borderId="0" xfId="1" applyNumberFormat="1" applyBorder="1" applyAlignment="1">
      <alignment horizontal="center" vertical="center"/>
    </xf>
    <xf numFmtId="0" fontId="3" fillId="0" borderId="31" xfId="1" applyBorder="1" applyAlignment="1">
      <alignment horizontal="left" vertical="center"/>
    </xf>
    <xf numFmtId="0" fontId="3" fillId="0" borderId="32" xfId="1" applyBorder="1" applyAlignment="1">
      <alignment horizontal="left" vertical="center"/>
    </xf>
    <xf numFmtId="0" fontId="16" fillId="6" borderId="9" xfId="3" applyFont="1" applyFill="1" applyBorder="1" applyAlignment="1">
      <alignment horizontal="center" vertical="center" wrapText="1"/>
    </xf>
    <xf numFmtId="0" fontId="16" fillId="6" borderId="9" xfId="3" applyFont="1" applyFill="1" applyBorder="1" applyAlignment="1">
      <alignment horizontal="center" vertical="center"/>
    </xf>
    <xf numFmtId="0" fontId="7" fillId="0" borderId="0" xfId="3" applyFont="1"/>
    <xf numFmtId="14" fontId="7" fillId="0" borderId="0" xfId="3" applyNumberFormat="1" applyFont="1"/>
    <xf numFmtId="0" fontId="7" fillId="0" borderId="0" xfId="3" applyFont="1" applyAlignment="1">
      <alignment horizontal="center"/>
    </xf>
    <xf numFmtId="44" fontId="7" fillId="0" borderId="0" xfId="4" applyFont="1"/>
    <xf numFmtId="0" fontId="17" fillId="6" borderId="0" xfId="5" applyFont="1" applyFill="1" applyAlignment="1">
      <alignment vertical="center"/>
    </xf>
    <xf numFmtId="0" fontId="2" fillId="6" borderId="0" xfId="5" applyFont="1" applyFill="1" applyAlignment="1">
      <alignment vertical="center"/>
    </xf>
    <xf numFmtId="0" fontId="3" fillId="0" borderId="0" xfId="5" applyFont="1" applyAlignment="1">
      <alignment vertical="center"/>
    </xf>
    <xf numFmtId="0" fontId="14" fillId="7" borderId="33" xfId="5" applyFont="1" applyFill="1" applyBorder="1" applyAlignment="1">
      <alignment vertical="center"/>
    </xf>
    <xf numFmtId="0" fontId="5" fillId="7" borderId="34" xfId="5" applyFont="1" applyFill="1" applyBorder="1" applyAlignment="1">
      <alignment vertical="center"/>
    </xf>
    <xf numFmtId="0" fontId="5" fillId="7" borderId="35" xfId="5" applyFont="1" applyFill="1" applyBorder="1" applyAlignment="1">
      <alignment vertical="center"/>
    </xf>
    <xf numFmtId="0" fontId="14" fillId="7" borderId="34" xfId="5" applyFont="1" applyFill="1" applyBorder="1" applyAlignment="1">
      <alignment vertical="center"/>
    </xf>
    <xf numFmtId="0" fontId="14" fillId="7" borderId="35" xfId="5" applyFont="1" applyFill="1" applyBorder="1" applyAlignment="1">
      <alignment vertical="center"/>
    </xf>
    <xf numFmtId="0" fontId="14" fillId="7" borderId="36" xfId="5" applyFont="1" applyFill="1" applyBorder="1" applyAlignment="1">
      <alignment vertical="center"/>
    </xf>
    <xf numFmtId="0" fontId="5" fillId="7" borderId="37" xfId="5" applyFont="1" applyFill="1" applyBorder="1" applyAlignment="1">
      <alignment vertical="center"/>
    </xf>
    <xf numFmtId="0" fontId="5" fillId="7" borderId="38" xfId="5" applyFont="1" applyFill="1" applyBorder="1" applyAlignment="1">
      <alignment vertical="center"/>
    </xf>
    <xf numFmtId="0" fontId="14" fillId="7" borderId="37" xfId="5" applyFont="1" applyFill="1" applyBorder="1" applyAlignment="1">
      <alignment vertical="center"/>
    </xf>
    <xf numFmtId="0" fontId="14" fillId="7" borderId="38" xfId="5" applyFont="1" applyFill="1" applyBorder="1" applyAlignment="1">
      <alignment vertical="center"/>
    </xf>
    <xf numFmtId="0" fontId="19" fillId="8" borderId="9" xfId="5" applyFont="1" applyFill="1" applyBorder="1" applyAlignment="1">
      <alignment horizontal="center" vertical="center"/>
    </xf>
    <xf numFmtId="0" fontId="19" fillId="8" borderId="25" xfId="5" applyFont="1" applyFill="1" applyBorder="1" applyAlignment="1">
      <alignment horizontal="left" vertical="center" indent="1"/>
    </xf>
    <xf numFmtId="0" fontId="3" fillId="9" borderId="9" xfId="5" applyFont="1" applyFill="1" applyBorder="1" applyAlignment="1">
      <alignment horizontal="center" vertical="center"/>
    </xf>
    <xf numFmtId="44" fontId="3" fillId="9" borderId="9" xfId="6" applyFont="1" applyFill="1" applyBorder="1" applyAlignment="1">
      <alignment vertical="center"/>
    </xf>
    <xf numFmtId="14" fontId="3" fillId="9" borderId="9" xfId="5" applyNumberFormat="1" applyFont="1" applyFill="1" applyBorder="1" applyAlignment="1">
      <alignment vertical="center"/>
    </xf>
    <xf numFmtId="0" fontId="5" fillId="10" borderId="9" xfId="5" applyNumberFormat="1" applyFont="1" applyFill="1" applyBorder="1" applyAlignment="1">
      <alignment horizontal="center" vertical="center"/>
    </xf>
    <xf numFmtId="0" fontId="3" fillId="9" borderId="9" xfId="5" applyFont="1" applyFill="1" applyBorder="1" applyAlignment="1">
      <alignment horizontal="left" vertical="center" indent="1"/>
    </xf>
    <xf numFmtId="44" fontId="5" fillId="11" borderId="9" xfId="6" quotePrefix="1" applyFont="1" applyFill="1" applyBorder="1" applyAlignment="1">
      <alignment horizontal="left" vertical="center"/>
    </xf>
    <xf numFmtId="9" fontId="5" fillId="11" borderId="9" xfId="6" quotePrefix="1" applyNumberFormat="1" applyFont="1" applyFill="1" applyBorder="1" applyAlignment="1">
      <alignment horizontal="center" vertical="center"/>
    </xf>
    <xf numFmtId="44" fontId="5" fillId="11" borderId="9" xfId="6" quotePrefix="1" applyFont="1" applyFill="1" applyBorder="1" applyAlignment="1">
      <alignment vertical="center"/>
    </xf>
    <xf numFmtId="0" fontId="3" fillId="0" borderId="39" xfId="5" applyFont="1" applyBorder="1" applyAlignment="1">
      <alignment vertical="center"/>
    </xf>
    <xf numFmtId="0" fontId="1" fillId="0" borderId="0" xfId="5"/>
    <xf numFmtId="0" fontId="19" fillId="8" borderId="25" xfId="5" applyFont="1" applyFill="1" applyBorder="1" applyAlignment="1">
      <alignment horizontal="left" vertical="center"/>
    </xf>
    <xf numFmtId="0" fontId="19" fillId="8" borderId="25" xfId="5" applyFont="1" applyFill="1" applyBorder="1" applyAlignment="1">
      <alignment horizontal="center" vertical="center"/>
    </xf>
    <xf numFmtId="166" fontId="3" fillId="9" borderId="9" xfId="7" applyNumberFormat="1" applyFont="1" applyFill="1" applyBorder="1" applyAlignment="1">
      <alignment vertical="center"/>
    </xf>
    <xf numFmtId="0" fontId="5" fillId="11" borderId="9" xfId="5" applyNumberFormat="1" applyFont="1" applyFill="1" applyBorder="1" applyAlignment="1">
      <alignment horizontal="center" vertical="center"/>
    </xf>
    <xf numFmtId="166" fontId="5" fillId="11" borderId="9" xfId="7" applyNumberFormat="1" applyFont="1" applyFill="1" applyBorder="1" applyAlignment="1">
      <alignment horizontal="center" vertical="center"/>
    </xf>
    <xf numFmtId="44" fontId="5" fillId="9" borderId="9" xfId="6" applyFont="1" applyFill="1" applyBorder="1" applyAlignment="1">
      <alignment horizontal="left" vertical="center"/>
    </xf>
    <xf numFmtId="44" fontId="5" fillId="10" borderId="9" xfId="6" applyFont="1" applyFill="1" applyBorder="1" applyAlignment="1">
      <alignment horizontal="left" vertical="center"/>
    </xf>
    <xf numFmtId="44" fontId="5" fillId="10" borderId="9" xfId="6" applyFont="1" applyFill="1" applyBorder="1" applyAlignment="1">
      <alignment vertical="center"/>
    </xf>
    <xf numFmtId="44" fontId="5" fillId="9" borderId="9" xfId="6" applyFont="1" applyFill="1" applyBorder="1" applyAlignment="1">
      <alignment vertical="center"/>
    </xf>
    <xf numFmtId="0" fontId="3" fillId="9" borderId="9" xfId="6" applyNumberFormat="1" applyFont="1" applyFill="1" applyBorder="1" applyAlignment="1">
      <alignment horizontal="center" vertical="center"/>
    </xf>
    <xf numFmtId="44" fontId="5" fillId="11" borderId="9" xfId="6" applyFont="1" applyFill="1" applyBorder="1" applyAlignment="1">
      <alignment horizontal="left" vertical="center"/>
    </xf>
    <xf numFmtId="44" fontId="3" fillId="10" borderId="9" xfId="6" applyFont="1" applyFill="1" applyBorder="1" applyAlignment="1">
      <alignment vertical="center"/>
    </xf>
    <xf numFmtId="0" fontId="21" fillId="0" borderId="0" xfId="8" applyFont="1" applyAlignment="1">
      <alignment horizontal="left" vertical="center"/>
    </xf>
    <xf numFmtId="0" fontId="20" fillId="0" borderId="0" xfId="8" applyAlignment="1">
      <alignment horizontal="left" vertical="center"/>
    </xf>
    <xf numFmtId="0" fontId="21" fillId="0" borderId="0" xfId="8" applyFont="1" applyAlignment="1">
      <alignment vertical="center"/>
    </xf>
    <xf numFmtId="0" fontId="21" fillId="2" borderId="9" xfId="8" applyFont="1" applyFill="1" applyBorder="1" applyAlignment="1">
      <alignment horizontal="left" vertical="center" wrapText="1"/>
    </xf>
    <xf numFmtId="0" fontId="21" fillId="2" borderId="9" xfId="8" applyFont="1" applyFill="1" applyBorder="1" applyAlignment="1">
      <alignment horizontal="left" vertical="center"/>
    </xf>
    <xf numFmtId="0" fontId="21" fillId="2" borderId="9" xfId="8" applyFont="1" applyFill="1" applyBorder="1" applyAlignment="1">
      <alignment horizontal="center" vertical="center"/>
    </xf>
    <xf numFmtId="0" fontId="20" fillId="0" borderId="0" xfId="8" applyAlignment="1">
      <alignment horizontal="center" vertical="center"/>
    </xf>
    <xf numFmtId="14" fontId="20" fillId="0" borderId="0" xfId="8" applyNumberFormat="1" applyAlignment="1">
      <alignment horizontal="left" vertical="center"/>
    </xf>
    <xf numFmtId="14" fontId="20" fillId="0" borderId="0" xfId="8" applyNumberFormat="1" applyAlignment="1">
      <alignment horizontal="center" vertical="center"/>
    </xf>
    <xf numFmtId="0" fontId="21" fillId="12" borderId="9" xfId="8" applyFont="1" applyFill="1" applyBorder="1" applyAlignment="1">
      <alignment horizontal="center" vertical="center"/>
    </xf>
    <xf numFmtId="167" fontId="21" fillId="0" borderId="0" xfId="8" applyNumberFormat="1" applyFont="1" applyAlignment="1">
      <alignment horizontal="center" vertical="center"/>
    </xf>
    <xf numFmtId="0" fontId="21" fillId="2" borderId="9" xfId="8" applyFont="1" applyFill="1" applyBorder="1" applyAlignment="1">
      <alignment horizontal="center" vertical="center" wrapText="1"/>
    </xf>
    <xf numFmtId="0" fontId="20" fillId="2" borderId="9" xfId="8" applyFill="1" applyBorder="1" applyAlignment="1">
      <alignment horizontal="center" vertical="center"/>
    </xf>
    <xf numFmtId="20" fontId="20" fillId="0" borderId="0" xfId="8" applyNumberFormat="1" applyAlignment="1">
      <alignment horizontal="center" vertical="center"/>
    </xf>
    <xf numFmtId="20" fontId="20" fillId="0" borderId="0" xfId="8" applyNumberFormat="1" applyAlignment="1">
      <alignment horizontal="left" vertical="center"/>
    </xf>
    <xf numFmtId="0" fontId="21" fillId="0" borderId="0" xfId="8" applyFont="1" applyAlignment="1">
      <alignment horizontal="center" vertical="center"/>
    </xf>
    <xf numFmtId="0" fontId="20" fillId="13" borderId="0" xfId="8" applyFill="1" applyAlignment="1">
      <alignment horizontal="left" vertical="center"/>
    </xf>
    <xf numFmtId="44" fontId="21" fillId="10" borderId="9" xfId="8" applyNumberFormat="1" applyFont="1" applyFill="1" applyBorder="1" applyAlignment="1">
      <alignment horizontal="center" vertical="center"/>
    </xf>
    <xf numFmtId="0" fontId="24" fillId="14" borderId="9" xfId="8" applyFont="1" applyFill="1" applyBorder="1" applyAlignment="1">
      <alignment horizontal="center" vertical="center"/>
    </xf>
    <xf numFmtId="165" fontId="20" fillId="0" borderId="0" xfId="8" applyNumberFormat="1" applyAlignment="1">
      <alignment horizontal="center" vertical="center"/>
    </xf>
    <xf numFmtId="44" fontId="20" fillId="0" borderId="0" xfId="8" applyNumberFormat="1" applyAlignment="1">
      <alignment horizontal="left" vertical="center"/>
    </xf>
    <xf numFmtId="0" fontId="20" fillId="0" borderId="0" xfId="8"/>
    <xf numFmtId="0" fontId="26" fillId="8" borderId="9" xfId="8" applyFont="1" applyFill="1" applyBorder="1" applyAlignment="1">
      <alignment horizontal="left" vertical="center"/>
    </xf>
    <xf numFmtId="0" fontId="21" fillId="0" borderId="0" xfId="8" quotePrefix="1" applyFont="1" applyAlignment="1">
      <alignment horizontal="left" vertical="center"/>
    </xf>
    <xf numFmtId="43" fontId="21" fillId="0" borderId="0" xfId="10" quotePrefix="1" applyFont="1" applyAlignment="1">
      <alignment horizontal="left" vertical="center"/>
    </xf>
    <xf numFmtId="0" fontId="24" fillId="16" borderId="41" xfId="8" applyFont="1" applyFill="1" applyBorder="1" applyAlignment="1">
      <alignment horizontal="left" vertical="center"/>
    </xf>
    <xf numFmtId="0" fontId="24" fillId="16" borderId="42" xfId="8" applyFont="1" applyFill="1" applyBorder="1" applyAlignment="1">
      <alignment horizontal="left" vertical="center"/>
    </xf>
    <xf numFmtId="0" fontId="20" fillId="10" borderId="25" xfId="8" applyFill="1" applyBorder="1" applyAlignment="1">
      <alignment horizontal="left" vertical="center"/>
    </xf>
    <xf numFmtId="0" fontId="21" fillId="17" borderId="9" xfId="8" applyFont="1" applyFill="1" applyBorder="1" applyAlignment="1">
      <alignment horizontal="center" vertical="center"/>
    </xf>
    <xf numFmtId="0" fontId="21" fillId="17" borderId="9" xfId="8" applyFont="1" applyFill="1" applyBorder="1" applyAlignment="1">
      <alignment horizontal="left" vertical="center"/>
    </xf>
    <xf numFmtId="0" fontId="21" fillId="17" borderId="9" xfId="8" applyFont="1" applyFill="1" applyBorder="1" applyAlignment="1">
      <alignment horizontal="left" vertical="center" wrapText="1"/>
    </xf>
    <xf numFmtId="0" fontId="21" fillId="9" borderId="9" xfId="8" applyFont="1" applyFill="1" applyBorder="1" applyAlignment="1">
      <alignment horizontal="center" vertical="center"/>
    </xf>
    <xf numFmtId="14" fontId="21" fillId="0" borderId="0" xfId="8" applyNumberFormat="1" applyFont="1" applyAlignment="1">
      <alignment horizontal="left" vertical="center"/>
    </xf>
    <xf numFmtId="0" fontId="21" fillId="0" borderId="0" xfId="8" applyFont="1" applyAlignment="1">
      <alignment horizontal="left"/>
    </xf>
    <xf numFmtId="0" fontId="21" fillId="3" borderId="9" xfId="8" applyFont="1" applyFill="1" applyBorder="1" applyAlignment="1">
      <alignment horizontal="left" vertical="center"/>
    </xf>
    <xf numFmtId="0" fontId="20" fillId="3" borderId="9" xfId="8" applyFont="1" applyFill="1" applyBorder="1" applyAlignment="1">
      <alignment horizontal="left" vertical="center"/>
    </xf>
    <xf numFmtId="0" fontId="21" fillId="18" borderId="0" xfId="8" applyFont="1" applyFill="1"/>
    <xf numFmtId="0" fontId="21" fillId="18" borderId="0" xfId="8" applyFont="1" applyFill="1" applyAlignment="1">
      <alignment horizontal="center"/>
    </xf>
    <xf numFmtId="0" fontId="21" fillId="0" borderId="0" xfId="8" applyFont="1"/>
    <xf numFmtId="0" fontId="24" fillId="11" borderId="43" xfId="8" applyFont="1" applyFill="1" applyBorder="1" applyAlignment="1">
      <alignment horizontal="center" vertical="center" wrapText="1"/>
    </xf>
    <xf numFmtId="0" fontId="24" fillId="11" borderId="43" xfId="8" applyFont="1" applyFill="1" applyBorder="1" applyAlignment="1">
      <alignment horizontal="center" vertical="center"/>
    </xf>
    <xf numFmtId="44" fontId="20" fillId="0" borderId="43" xfId="8" applyNumberFormat="1" applyBorder="1" applyAlignment="1">
      <alignment horizontal="right" vertical="center"/>
    </xf>
    <xf numFmtId="0" fontId="20" fillId="0" borderId="43" xfId="8" applyBorder="1" applyAlignment="1">
      <alignment horizontal="left" vertical="center"/>
    </xf>
    <xf numFmtId="44" fontId="28" fillId="19" borderId="43" xfId="10" applyNumberFormat="1" applyFont="1" applyFill="1" applyBorder="1" applyAlignment="1">
      <alignment horizontal="center" vertical="center"/>
    </xf>
    <xf numFmtId="0" fontId="20" fillId="0" borderId="0" xfId="8" applyAlignment="1">
      <alignment vertical="center"/>
    </xf>
    <xf numFmtId="0" fontId="3" fillId="0" borderId="0" xfId="8" applyFont="1" applyAlignment="1">
      <alignment vertical="center"/>
    </xf>
    <xf numFmtId="0" fontId="7" fillId="0" borderId="0" xfId="8" applyFont="1" applyAlignment="1">
      <alignment vertical="center"/>
    </xf>
    <xf numFmtId="0" fontId="5" fillId="0" borderId="0" xfId="8" applyFont="1" applyAlignment="1">
      <alignment vertical="center"/>
    </xf>
    <xf numFmtId="0" fontId="29" fillId="5" borderId="44" xfId="8" applyFont="1" applyFill="1" applyBorder="1" applyAlignment="1">
      <alignment horizontal="center" vertical="center"/>
    </xf>
    <xf numFmtId="2" fontId="29" fillId="5" borderId="44" xfId="8" applyNumberFormat="1" applyFont="1" applyFill="1" applyBorder="1" applyAlignment="1">
      <alignment horizontal="center" vertical="center"/>
    </xf>
    <xf numFmtId="0" fontId="30" fillId="0" borderId="44" xfId="8" applyFont="1" applyBorder="1" applyAlignment="1">
      <alignment vertical="center"/>
    </xf>
    <xf numFmtId="0" fontId="30" fillId="0" borderId="44" xfId="8" applyFont="1" applyBorder="1" applyAlignment="1">
      <alignment horizontal="center" vertical="center"/>
    </xf>
    <xf numFmtId="0" fontId="30" fillId="0" borderId="44" xfId="8" applyFont="1" applyBorder="1" applyAlignment="1">
      <alignment horizontal="left" vertical="center"/>
    </xf>
    <xf numFmtId="2" fontId="30" fillId="0" borderId="44" xfId="8" applyNumberFormat="1" applyFont="1" applyBorder="1" applyAlignment="1">
      <alignment horizontal="center" vertical="center"/>
    </xf>
    <xf numFmtId="0" fontId="19" fillId="8" borderId="9" xfId="8" applyFont="1" applyFill="1" applyBorder="1" applyAlignment="1">
      <alignment vertical="center"/>
    </xf>
    <xf numFmtId="0" fontId="3" fillId="2" borderId="9" xfId="8" applyFont="1" applyFill="1" applyBorder="1" applyAlignment="1">
      <alignment horizontal="center" vertical="center"/>
    </xf>
    <xf numFmtId="0" fontId="5" fillId="10" borderId="9" xfId="8" quotePrefix="1" applyFont="1" applyFill="1" applyBorder="1" applyAlignment="1">
      <alignment horizontal="left" vertical="center"/>
    </xf>
    <xf numFmtId="0" fontId="9" fillId="0" borderId="0" xfId="8" applyFont="1" applyAlignment="1">
      <alignment vertical="center"/>
    </xf>
    <xf numFmtId="0" fontId="27" fillId="0" borderId="0" xfId="5" applyFont="1" applyAlignment="1">
      <alignment vertical="center"/>
    </xf>
    <xf numFmtId="0" fontId="32" fillId="0" borderId="0" xfId="5" applyFont="1"/>
    <xf numFmtId="169" fontId="32" fillId="0" borderId="0" xfId="11" applyFont="1"/>
    <xf numFmtId="0" fontId="25" fillId="10" borderId="45" xfId="5" applyFont="1" applyFill="1" applyBorder="1" applyAlignment="1">
      <alignment horizontal="center"/>
    </xf>
    <xf numFmtId="169" fontId="25" fillId="10" borderId="45" xfId="11" applyFont="1" applyFill="1" applyBorder="1" applyAlignment="1">
      <alignment horizontal="center"/>
    </xf>
    <xf numFmtId="0" fontId="32" fillId="0" borderId="45" xfId="5" applyFont="1" applyBorder="1"/>
    <xf numFmtId="0" fontId="32" fillId="0" borderId="45" xfId="5" applyFont="1" applyBorder="1" applyAlignment="1">
      <alignment horizontal="center"/>
    </xf>
    <xf numFmtId="169" fontId="32" fillId="0" borderId="45" xfId="11" applyFont="1" applyBorder="1"/>
    <xf numFmtId="169" fontId="25" fillId="0" borderId="45" xfId="11" applyFont="1" applyBorder="1" applyAlignment="1">
      <alignment horizontal="left" vertical="center"/>
    </xf>
    <xf numFmtId="0" fontId="25" fillId="10" borderId="0" xfId="5" applyFont="1" applyFill="1" applyAlignment="1"/>
    <xf numFmtId="43" fontId="32" fillId="0" borderId="0" xfId="5" applyNumberFormat="1" applyFont="1"/>
    <xf numFmtId="0" fontId="0" fillId="0" borderId="46" xfId="0" applyBorder="1"/>
    <xf numFmtId="0" fontId="0" fillId="20" borderId="46" xfId="0" applyFill="1" applyBorder="1"/>
    <xf numFmtId="0" fontId="0" fillId="0" borderId="0" xfId="0" applyAlignment="1">
      <alignment horizontal="left" vertical="center"/>
    </xf>
    <xf numFmtId="0" fontId="0" fillId="0" borderId="46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48" xfId="0" applyBorder="1" applyAlignment="1">
      <alignment horizontal="left" vertical="center"/>
    </xf>
    <xf numFmtId="0" fontId="0" fillId="0" borderId="49" xfId="0" applyBorder="1" applyAlignment="1">
      <alignment horizontal="left" vertical="center"/>
    </xf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20" fillId="0" borderId="50" xfId="8" applyBorder="1" applyAlignment="1">
      <alignment horizontal="left" vertical="center"/>
    </xf>
    <xf numFmtId="0" fontId="20" fillId="0" borderId="51" xfId="8" applyBorder="1" applyAlignment="1">
      <alignment horizontal="left" vertical="center"/>
    </xf>
    <xf numFmtId="0" fontId="20" fillId="0" borderId="52" xfId="8" applyBorder="1" applyAlignment="1">
      <alignment horizontal="left" vertical="center"/>
    </xf>
    <xf numFmtId="0" fontId="20" fillId="0" borderId="53" xfId="8" applyBorder="1" applyAlignment="1">
      <alignment horizontal="left" vertical="center"/>
    </xf>
    <xf numFmtId="0" fontId="20" fillId="0" borderId="0" xfId="8" applyBorder="1" applyAlignment="1">
      <alignment horizontal="left" vertical="center"/>
    </xf>
    <xf numFmtId="0" fontId="20" fillId="0" borderId="54" xfId="8" applyBorder="1" applyAlignment="1">
      <alignment horizontal="left" vertical="center"/>
    </xf>
    <xf numFmtId="0" fontId="26" fillId="8" borderId="55" xfId="8" applyFont="1" applyFill="1" applyBorder="1" applyAlignment="1">
      <alignment horizontal="left" vertical="center"/>
    </xf>
    <xf numFmtId="0" fontId="21" fillId="0" borderId="0" xfId="8" quotePrefix="1" applyFont="1" applyBorder="1" applyAlignment="1">
      <alignment horizontal="left" vertical="center"/>
    </xf>
    <xf numFmtId="0" fontId="21" fillId="0" borderId="0" xfId="8" applyFont="1" applyBorder="1" applyAlignment="1">
      <alignment horizontal="left" vertical="center"/>
    </xf>
    <xf numFmtId="0" fontId="20" fillId="0" borderId="56" xfId="8" applyBorder="1" applyAlignment="1">
      <alignment horizontal="left" vertical="center"/>
    </xf>
    <xf numFmtId="0" fontId="20" fillId="0" borderId="57" xfId="8" applyBorder="1" applyAlignment="1">
      <alignment horizontal="left" vertical="center"/>
    </xf>
    <xf numFmtId="0" fontId="20" fillId="0" borderId="58" xfId="8" applyBorder="1" applyAlignment="1">
      <alignment horizontal="left" vertical="center"/>
    </xf>
    <xf numFmtId="0" fontId="26" fillId="8" borderId="0" xfId="8" applyFont="1" applyFill="1" applyBorder="1" applyAlignment="1">
      <alignment horizontal="left" vertical="center"/>
    </xf>
    <xf numFmtId="0" fontId="21" fillId="0" borderId="46" xfId="8" quotePrefix="1" applyFont="1" applyBorder="1" applyAlignment="1">
      <alignment horizontal="left" vertical="center"/>
    </xf>
    <xf numFmtId="0" fontId="21" fillId="0" borderId="47" xfId="8" quotePrefix="1" applyFont="1" applyBorder="1" applyAlignment="1">
      <alignment horizontal="left" vertical="center"/>
    </xf>
    <xf numFmtId="0" fontId="21" fillId="0" borderId="48" xfId="8" quotePrefix="1" applyFont="1" applyBorder="1" applyAlignment="1">
      <alignment horizontal="left" vertical="center"/>
    </xf>
    <xf numFmtId="0" fontId="21" fillId="0" borderId="49" xfId="8" quotePrefix="1" applyFont="1" applyBorder="1" applyAlignment="1">
      <alignment horizontal="left" vertical="center"/>
    </xf>
    <xf numFmtId="0" fontId="0" fillId="0" borderId="0" xfId="0" applyBorder="1"/>
    <xf numFmtId="0" fontId="0" fillId="0" borderId="59" xfId="0" applyBorder="1"/>
    <xf numFmtId="0" fontId="0" fillId="0" borderId="44" xfId="0" applyBorder="1"/>
    <xf numFmtId="0" fontId="20" fillId="0" borderId="46" xfId="8" applyBorder="1" applyAlignment="1">
      <alignment horizontal="left" vertical="center"/>
    </xf>
    <xf numFmtId="0" fontId="20" fillId="0" borderId="47" xfId="8" applyBorder="1" applyAlignment="1">
      <alignment horizontal="left" vertical="center"/>
    </xf>
    <xf numFmtId="0" fontId="20" fillId="0" borderId="48" xfId="8" applyBorder="1" applyAlignment="1">
      <alignment horizontal="left" vertical="center"/>
    </xf>
    <xf numFmtId="0" fontId="20" fillId="0" borderId="49" xfId="8" applyBorder="1" applyAlignment="1">
      <alignment horizontal="left" vertical="center"/>
    </xf>
    <xf numFmtId="0" fontId="20" fillId="0" borderId="47" xfId="8" applyBorder="1" applyAlignment="1">
      <alignment horizontal="center" vertical="center"/>
    </xf>
    <xf numFmtId="167" fontId="20" fillId="13" borderId="0" xfId="8" applyNumberFormat="1" applyFill="1" applyAlignment="1">
      <alignment horizontal="center" vertical="center"/>
    </xf>
    <xf numFmtId="167" fontId="20" fillId="13" borderId="0" xfId="8" applyNumberFormat="1" applyFill="1" applyAlignment="1">
      <alignment horizontal="left" vertical="center"/>
    </xf>
    <xf numFmtId="0" fontId="21" fillId="0" borderId="46" xfId="8" applyFont="1" applyBorder="1" applyAlignment="1">
      <alignment vertical="center"/>
    </xf>
    <xf numFmtId="44" fontId="20" fillId="0" borderId="0" xfId="12" applyFont="1" applyAlignment="1">
      <alignment horizontal="left" vertical="center"/>
    </xf>
    <xf numFmtId="44" fontId="20" fillId="0" borderId="56" xfId="12" applyFont="1" applyBorder="1" applyAlignment="1">
      <alignment horizontal="left" vertical="center"/>
    </xf>
    <xf numFmtId="44" fontId="20" fillId="0" borderId="57" xfId="12" applyFont="1" applyBorder="1" applyAlignment="1">
      <alignment horizontal="left" vertical="center"/>
    </xf>
    <xf numFmtId="44" fontId="20" fillId="0" borderId="58" xfId="12" applyFont="1" applyBorder="1" applyAlignment="1">
      <alignment horizontal="left" vertical="center"/>
    </xf>
    <xf numFmtId="0" fontId="20" fillId="13" borderId="61" xfId="8" applyFill="1" applyBorder="1" applyAlignment="1">
      <alignment horizontal="left" vertical="center"/>
    </xf>
    <xf numFmtId="14" fontId="20" fillId="13" borderId="62" xfId="8" applyNumberFormat="1" applyFill="1" applyBorder="1" applyAlignment="1">
      <alignment horizontal="left" vertical="center"/>
    </xf>
    <xf numFmtId="0" fontId="20" fillId="13" borderId="63" xfId="8" applyFill="1" applyBorder="1" applyAlignment="1">
      <alignment horizontal="left" vertical="center"/>
    </xf>
    <xf numFmtId="14" fontId="20" fillId="13" borderId="64" xfId="8" applyNumberFormat="1" applyFill="1" applyBorder="1" applyAlignment="1">
      <alignment horizontal="left" vertical="center"/>
    </xf>
    <xf numFmtId="0" fontId="20" fillId="21" borderId="44" xfId="8" applyFill="1" applyBorder="1" applyAlignment="1">
      <alignment horizontal="center" vertical="center"/>
    </xf>
    <xf numFmtId="44" fontId="20" fillId="0" borderId="44" xfId="12" applyFont="1" applyBorder="1" applyAlignment="1">
      <alignment horizontal="left" vertical="center"/>
    </xf>
    <xf numFmtId="0" fontId="3" fillId="0" borderId="59" xfId="1" quotePrefix="1" applyBorder="1" applyAlignment="1">
      <alignment horizontal="left" vertical="center"/>
    </xf>
    <xf numFmtId="0" fontId="3" fillId="0" borderId="60" xfId="1" applyBorder="1" applyAlignment="1">
      <alignment horizontal="left" vertical="center"/>
    </xf>
    <xf numFmtId="0" fontId="3" fillId="0" borderId="50" xfId="1" quotePrefix="1" applyBorder="1" applyAlignment="1">
      <alignment horizontal="left" vertical="center"/>
    </xf>
    <xf numFmtId="0" fontId="3" fillId="0" borderId="52" xfId="1" applyBorder="1" applyAlignment="1">
      <alignment horizontal="left" vertical="center"/>
    </xf>
    <xf numFmtId="0" fontId="3" fillId="0" borderId="0" xfId="1" applyBorder="1" applyAlignment="1">
      <alignment horizontal="center" vertical="center"/>
    </xf>
    <xf numFmtId="0" fontId="35" fillId="0" borderId="0" xfId="0" applyFont="1"/>
    <xf numFmtId="0" fontId="35" fillId="0" borderId="59" xfId="0" applyFont="1" applyBorder="1"/>
    <xf numFmtId="0" fontId="35" fillId="0" borderId="65" xfId="0" applyFont="1" applyBorder="1"/>
    <xf numFmtId="0" fontId="35" fillId="13" borderId="66" xfId="0" applyFont="1" applyFill="1" applyBorder="1"/>
    <xf numFmtId="0" fontId="35" fillId="0" borderId="60" xfId="0" applyFont="1" applyBorder="1"/>
    <xf numFmtId="2" fontId="0" fillId="0" borderId="0" xfId="0" applyNumberFormat="1" applyAlignment="1">
      <alignment horizontal="center" vertical="center"/>
    </xf>
    <xf numFmtId="14" fontId="0" fillId="0" borderId="47" xfId="0" applyNumberFormat="1" applyBorder="1"/>
    <xf numFmtId="14" fontId="0" fillId="0" borderId="48" xfId="0" applyNumberFormat="1" applyBorder="1"/>
    <xf numFmtId="44" fontId="25" fillId="0" borderId="45" xfId="12" applyFont="1" applyBorder="1" applyAlignment="1">
      <alignment horizontal="left" vertical="center"/>
    </xf>
    <xf numFmtId="9" fontId="32" fillId="0" borderId="0" xfId="5" applyNumberFormat="1" applyFont="1" applyAlignment="1">
      <alignment horizontal="center" vertical="center"/>
    </xf>
    <xf numFmtId="0" fontId="32" fillId="0" borderId="0" xfId="5" applyFont="1" applyAlignment="1">
      <alignment horizontal="center" vertical="center"/>
    </xf>
    <xf numFmtId="9" fontId="32" fillId="0" borderId="0" xfId="13" applyFont="1"/>
    <xf numFmtId="44" fontId="27" fillId="0" borderId="67" xfId="10" applyNumberFormat="1" applyFont="1" applyFill="1" applyBorder="1" applyAlignment="1">
      <alignment horizontal="left" vertical="center"/>
    </xf>
    <xf numFmtId="44" fontId="20" fillId="0" borderId="47" xfId="8" applyNumberFormat="1" applyBorder="1" applyAlignment="1">
      <alignment horizontal="left" vertical="center"/>
    </xf>
    <xf numFmtId="44" fontId="20" fillId="0" borderId="48" xfId="8" applyNumberFormat="1" applyBorder="1" applyAlignment="1">
      <alignment horizontal="left" vertical="center"/>
    </xf>
    <xf numFmtId="44" fontId="20" fillId="0" borderId="49" xfId="8" applyNumberFormat="1" applyBorder="1" applyAlignment="1">
      <alignment horizontal="left" vertical="center"/>
    </xf>
    <xf numFmtId="0" fontId="35" fillId="0" borderId="44" xfId="0" applyFont="1" applyBorder="1"/>
    <xf numFmtId="44" fontId="35" fillId="0" borderId="44" xfId="12" applyFont="1" applyBorder="1"/>
    <xf numFmtId="44" fontId="35" fillId="0" borderId="44" xfId="0" applyNumberFormat="1" applyFont="1" applyBorder="1"/>
    <xf numFmtId="0" fontId="35" fillId="0" borderId="70" xfId="0" applyFont="1" applyBorder="1"/>
    <xf numFmtId="0" fontId="35" fillId="20" borderId="49" xfId="0" applyFont="1" applyFill="1" applyBorder="1"/>
    <xf numFmtId="0" fontId="35" fillId="20" borderId="48" xfId="0" applyFont="1" applyFill="1" applyBorder="1"/>
    <xf numFmtId="0" fontId="35" fillId="0" borderId="71" xfId="0" applyFont="1" applyBorder="1"/>
    <xf numFmtId="9" fontId="35" fillId="0" borderId="44" xfId="13" applyFont="1" applyBorder="1" applyAlignment="1">
      <alignment horizontal="center" vertical="center"/>
    </xf>
    <xf numFmtId="9" fontId="35" fillId="0" borderId="71" xfId="13" applyFont="1" applyBorder="1" applyAlignment="1">
      <alignment horizontal="center" vertical="center"/>
    </xf>
    <xf numFmtId="0" fontId="35" fillId="0" borderId="0" xfId="0" applyFont="1" applyFill="1"/>
    <xf numFmtId="0" fontId="35" fillId="0" borderId="0" xfId="0" applyFont="1" applyFill="1" applyBorder="1"/>
    <xf numFmtId="9" fontId="35" fillId="0" borderId="0" xfId="13" applyFont="1" applyFill="1" applyBorder="1" applyAlignment="1">
      <alignment horizontal="center" vertical="center"/>
    </xf>
    <xf numFmtId="0" fontId="34" fillId="20" borderId="59" xfId="0" applyFont="1" applyFill="1" applyBorder="1"/>
    <xf numFmtId="0" fontId="35" fillId="0" borderId="72" xfId="0" applyFont="1" applyBorder="1"/>
    <xf numFmtId="0" fontId="35" fillId="0" borderId="50" xfId="0" applyFont="1" applyBorder="1"/>
    <xf numFmtId="0" fontId="35" fillId="0" borderId="73" xfId="0" applyFont="1" applyBorder="1"/>
    <xf numFmtId="0" fontId="35" fillId="0" borderId="51" xfId="0" applyFont="1" applyBorder="1"/>
    <xf numFmtId="0" fontId="35" fillId="0" borderId="51" xfId="0" applyFont="1" applyFill="1" applyBorder="1"/>
    <xf numFmtId="0" fontId="35" fillId="0" borderId="52" xfId="0" applyFont="1" applyBorder="1"/>
    <xf numFmtId="0" fontId="35" fillId="0" borderId="53" xfId="0" applyFont="1" applyBorder="1"/>
    <xf numFmtId="0" fontId="35" fillId="0" borderId="0" xfId="0" applyFont="1" applyBorder="1"/>
    <xf numFmtId="0" fontId="35" fillId="0" borderId="54" xfId="0" applyFont="1" applyBorder="1"/>
    <xf numFmtId="44" fontId="35" fillId="20" borderId="0" xfId="0" applyNumberFormat="1" applyFont="1" applyFill="1" applyBorder="1"/>
    <xf numFmtId="0" fontId="35" fillId="0" borderId="56" xfId="0" applyFont="1" applyBorder="1"/>
    <xf numFmtId="0" fontId="35" fillId="0" borderId="57" xfId="0" applyFont="1" applyBorder="1"/>
    <xf numFmtId="0" fontId="35" fillId="0" borderId="57" xfId="0" applyFont="1" applyFill="1" applyBorder="1"/>
    <xf numFmtId="0" fontId="35" fillId="0" borderId="58" xfId="0" applyFont="1" applyBorder="1"/>
    <xf numFmtId="44" fontId="35" fillId="0" borderId="70" xfId="12" applyFont="1" applyBorder="1"/>
    <xf numFmtId="44" fontId="35" fillId="0" borderId="71" xfId="12" applyFont="1" applyBorder="1"/>
    <xf numFmtId="0" fontId="0" fillId="10" borderId="46" xfId="0" applyFill="1" applyBorder="1"/>
    <xf numFmtId="168" fontId="0" fillId="0" borderId="0" xfId="12" applyNumberFormat="1" applyFont="1"/>
    <xf numFmtId="0" fontId="0" fillId="10" borderId="68" xfId="0" applyFill="1" applyBorder="1"/>
    <xf numFmtId="0" fontId="0" fillId="10" borderId="74" xfId="0" applyFill="1" applyBorder="1"/>
    <xf numFmtId="0" fontId="0" fillId="10" borderId="69" xfId="0" applyFill="1" applyBorder="1"/>
    <xf numFmtId="44" fontId="0" fillId="0" borderId="44" xfId="12" applyFont="1" applyBorder="1"/>
    <xf numFmtId="0" fontId="0" fillId="10" borderId="0" xfId="0" applyFill="1" applyBorder="1"/>
    <xf numFmtId="0" fontId="0" fillId="0" borderId="44" xfId="0" applyFill="1" applyBorder="1"/>
    <xf numFmtId="44" fontId="0" fillId="0" borderId="44" xfId="0" applyNumberFormat="1" applyBorder="1"/>
    <xf numFmtId="10" fontId="0" fillId="0" borderId="44" xfId="13" applyNumberFormat="1" applyFont="1" applyBorder="1"/>
    <xf numFmtId="0" fontId="0" fillId="22" borderId="44" xfId="0" applyFill="1" applyBorder="1"/>
    <xf numFmtId="0" fontId="0" fillId="23" borderId="44" xfId="0" applyFill="1" applyBorder="1"/>
    <xf numFmtId="0" fontId="38" fillId="20" borderId="0" xfId="5" applyFont="1" applyFill="1"/>
    <xf numFmtId="0" fontId="32" fillId="0" borderId="47" xfId="5" applyFont="1" applyBorder="1"/>
    <xf numFmtId="0" fontId="32" fillId="0" borderId="50" xfId="5" applyFont="1" applyBorder="1"/>
    <xf numFmtId="0" fontId="32" fillId="0" borderId="44" xfId="5" applyFont="1" applyBorder="1"/>
    <xf numFmtId="44" fontId="32" fillId="0" borderId="44" xfId="12" applyFont="1" applyBorder="1"/>
    <xf numFmtId="0" fontId="0" fillId="0" borderId="0" xfId="0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44" fontId="0" fillId="0" borderId="0" xfId="12" applyFont="1" applyAlignment="1">
      <alignment horizontal="center" vertical="center"/>
    </xf>
    <xf numFmtId="44" fontId="1" fillId="0" borderId="0" xfId="0" applyNumberFormat="1" applyFont="1" applyAlignment="1">
      <alignment horizontal="center" vertical="center"/>
    </xf>
    <xf numFmtId="0" fontId="39" fillId="25" borderId="0" xfId="0" applyFont="1" applyFill="1"/>
    <xf numFmtId="0" fontId="37" fillId="26" borderId="0" xfId="0" applyFont="1" applyFill="1"/>
    <xf numFmtId="168" fontId="37" fillId="26" borderId="0" xfId="0" applyNumberFormat="1" applyFont="1" applyFill="1" applyAlignment="1">
      <alignment horizontal="center" vertical="center"/>
    </xf>
    <xf numFmtId="168" fontId="39" fillId="25" borderId="0" xfId="0" applyNumberFormat="1" applyFont="1" applyFill="1" applyAlignment="1">
      <alignment horizontal="center" vertical="center"/>
    </xf>
    <xf numFmtId="0" fontId="36" fillId="24" borderId="0" xfId="14"/>
    <xf numFmtId="14" fontId="0" fillId="0" borderId="44" xfId="0" applyNumberFormat="1" applyBorder="1"/>
    <xf numFmtId="0" fontId="0" fillId="0" borderId="44" xfId="0" quotePrefix="1" applyBorder="1" applyAlignment="1">
      <alignment horizontal="center" vertical="center"/>
    </xf>
    <xf numFmtId="0" fontId="0" fillId="0" borderId="51" xfId="0" applyBorder="1"/>
    <xf numFmtId="0" fontId="0" fillId="0" borderId="52" xfId="0" applyBorder="1"/>
    <xf numFmtId="0" fontId="0" fillId="0" borderId="54" xfId="0" applyBorder="1"/>
    <xf numFmtId="0" fontId="0" fillId="0" borderId="57" xfId="0" applyBorder="1"/>
    <xf numFmtId="0" fontId="0" fillId="0" borderId="58" xfId="0" applyBorder="1"/>
    <xf numFmtId="0" fontId="0" fillId="0" borderId="46" xfId="0" applyBorder="1" applyAlignment="1">
      <alignment horizontal="center" vertical="center"/>
    </xf>
    <xf numFmtId="0" fontId="0" fillId="13" borderId="60" xfId="0" applyFill="1" applyBorder="1"/>
    <xf numFmtId="0" fontId="0" fillId="0" borderId="0" xfId="0" applyFill="1" applyBorder="1"/>
    <xf numFmtId="0" fontId="41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40" fillId="0" borderId="0" xfId="0" applyFont="1" applyFill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44" fontId="0" fillId="0" borderId="0" xfId="12" applyFont="1"/>
    <xf numFmtId="0" fontId="0" fillId="0" borderId="0" xfId="0" quotePrefix="1"/>
    <xf numFmtId="0" fontId="42" fillId="0" borderId="0" xfId="0" applyFont="1"/>
    <xf numFmtId="0" fontId="43" fillId="0" borderId="0" xfId="0" applyFont="1"/>
    <xf numFmtId="168" fontId="0" fillId="0" borderId="0" xfId="0" applyNumberFormat="1" applyFill="1" applyBorder="1" applyAlignment="1">
      <alignment horizontal="center" vertical="center"/>
    </xf>
    <xf numFmtId="2" fontId="0" fillId="0" borderId="0" xfId="0" applyNumberFormat="1"/>
    <xf numFmtId="2" fontId="42" fillId="0" borderId="0" xfId="0" applyNumberFormat="1" applyFont="1"/>
    <xf numFmtId="2" fontId="43" fillId="0" borderId="0" xfId="12" applyNumberFormat="1" applyFont="1"/>
    <xf numFmtId="168" fontId="0" fillId="0" borderId="0" xfId="0" applyNumberFormat="1" applyBorder="1" applyAlignment="1">
      <alignment horizontal="center" vertical="center"/>
    </xf>
    <xf numFmtId="0" fontId="41" fillId="27" borderId="75" xfId="0" applyFont="1" applyFill="1" applyBorder="1" applyAlignment="1">
      <alignment horizontal="center" vertical="center"/>
    </xf>
    <xf numFmtId="168" fontId="41" fillId="27" borderId="75" xfId="0" applyNumberFormat="1" applyFont="1" applyFill="1" applyBorder="1" applyAlignment="1">
      <alignment horizontal="center" vertical="center"/>
    </xf>
    <xf numFmtId="0" fontId="44" fillId="0" borderId="75" xfId="0" applyFont="1" applyBorder="1" applyAlignment="1">
      <alignment horizontal="left" vertical="center"/>
    </xf>
    <xf numFmtId="44" fontId="0" fillId="0" borderId="75" xfId="12" applyFont="1" applyFill="1" applyBorder="1" applyAlignment="1">
      <alignment horizontal="center" vertical="center"/>
    </xf>
    <xf numFmtId="0" fontId="42" fillId="0" borderId="75" xfId="0" applyFont="1" applyBorder="1" applyAlignment="1">
      <alignment horizontal="left" vertical="center"/>
    </xf>
    <xf numFmtId="0" fontId="41" fillId="0" borderId="75" xfId="0" applyFont="1" applyBorder="1" applyAlignment="1">
      <alignment horizontal="left" vertical="center"/>
    </xf>
    <xf numFmtId="44" fontId="41" fillId="0" borderId="75" xfId="12" applyFont="1" applyFill="1" applyBorder="1" applyAlignment="1">
      <alignment horizontal="center" vertical="center"/>
    </xf>
    <xf numFmtId="44" fontId="41" fillId="28" borderId="75" xfId="12" applyFont="1" applyFill="1" applyBorder="1" applyAlignment="1">
      <alignment horizontal="center" vertical="center"/>
    </xf>
    <xf numFmtId="0" fontId="46" fillId="27" borderId="75" xfId="0" applyFont="1" applyFill="1" applyBorder="1" applyAlignment="1">
      <alignment horizontal="center" vertical="center"/>
    </xf>
    <xf numFmtId="168" fontId="46" fillId="27" borderId="75" xfId="0" applyNumberFormat="1" applyFont="1" applyFill="1" applyBorder="1" applyAlignment="1">
      <alignment horizontal="center" vertical="center"/>
    </xf>
    <xf numFmtId="0" fontId="45" fillId="0" borderId="75" xfId="0" applyFont="1" applyFill="1" applyBorder="1" applyAlignment="1">
      <alignment horizontal="center" vertical="center"/>
    </xf>
    <xf numFmtId="168" fontId="45" fillId="0" borderId="75" xfId="0" applyNumberFormat="1" applyFont="1" applyFill="1" applyBorder="1" applyAlignment="1">
      <alignment horizontal="center" vertical="center"/>
    </xf>
    <xf numFmtId="0" fontId="41" fillId="0" borderId="75" xfId="0" applyFont="1" applyFill="1" applyBorder="1" applyAlignment="1">
      <alignment horizontal="center" vertical="center"/>
    </xf>
    <xf numFmtId="0" fontId="45" fillId="0" borderId="0" xfId="0" applyFont="1" applyFill="1" applyBorder="1" applyAlignment="1">
      <alignment horizontal="center" vertical="center"/>
    </xf>
    <xf numFmtId="168" fontId="45" fillId="0" borderId="0" xfId="0" applyNumberFormat="1" applyFont="1" applyFill="1" applyBorder="1" applyAlignment="1">
      <alignment horizontal="center" vertical="center"/>
    </xf>
    <xf numFmtId="0" fontId="20" fillId="0" borderId="37" xfId="8" applyBorder="1" applyAlignment="1">
      <alignment horizontal="center" vertical="center"/>
    </xf>
    <xf numFmtId="0" fontId="23" fillId="0" borderId="0" xfId="8" applyFont="1" applyAlignment="1">
      <alignment horizontal="center" vertical="center"/>
    </xf>
    <xf numFmtId="0" fontId="20" fillId="14" borderId="40" xfId="8" applyFill="1" applyBorder="1" applyAlignment="1">
      <alignment horizontal="center" vertical="center" wrapText="1"/>
    </xf>
    <xf numFmtId="0" fontId="20" fillId="14" borderId="25" xfId="8" applyFill="1" applyBorder="1" applyAlignment="1">
      <alignment horizontal="center" vertical="center" wrapText="1"/>
    </xf>
    <xf numFmtId="44" fontId="25" fillId="15" borderId="40" xfId="8" quotePrefix="1" applyNumberFormat="1" applyFont="1" applyFill="1" applyBorder="1" applyAlignment="1">
      <alignment horizontal="left" vertical="center"/>
    </xf>
    <xf numFmtId="0" fontId="25" fillId="15" borderId="25" xfId="8" applyFont="1" applyFill="1" applyBorder="1" applyAlignment="1">
      <alignment horizontal="left" vertical="center"/>
    </xf>
    <xf numFmtId="168" fontId="25" fillId="15" borderId="40" xfId="9" applyNumberFormat="1" applyFont="1" applyFill="1" applyBorder="1" applyAlignment="1">
      <alignment horizontal="left" vertical="center"/>
    </xf>
    <xf numFmtId="168" fontId="25" fillId="15" borderId="25" xfId="9" applyNumberFormat="1" applyFont="1" applyFill="1" applyBorder="1" applyAlignment="1">
      <alignment horizontal="left" vertical="center"/>
    </xf>
  </cellXfs>
  <cellStyles count="15">
    <cellStyle name="Bom" xfId="14" builtinId="26"/>
    <cellStyle name="Moeda" xfId="12" builtinId="4"/>
    <cellStyle name="Moeda 2" xfId="6" xr:uid="{7492D9DC-1A85-4181-B34D-11938A68234C}"/>
    <cellStyle name="Moeda 2 2" xfId="11" xr:uid="{1ED5C4DD-FDE0-419C-B689-CA687B0C5260}"/>
    <cellStyle name="Moeda 3" xfId="9" xr:uid="{7D1E2F0E-8B7C-4926-867B-AF4568D1D77D}"/>
    <cellStyle name="Moeda 4" xfId="4" xr:uid="{B127C8E5-25CE-4C85-820C-366027C051EC}"/>
    <cellStyle name="Normal" xfId="0" builtinId="0"/>
    <cellStyle name="Normal 2" xfId="5" xr:uid="{A957CA77-7975-4C60-A017-7DFC31FDD187}"/>
    <cellStyle name="Normal 3" xfId="8" xr:uid="{4E53E951-B0A3-4B4D-9471-1E4028B862E0}"/>
    <cellStyle name="Normal 4" xfId="1" xr:uid="{B632802D-E3A1-434A-95F5-D2F9026F2ED2}"/>
    <cellStyle name="Normal 5" xfId="3" xr:uid="{719F58BB-1046-4F68-BEBF-4F8FCE60DC43}"/>
    <cellStyle name="Porcentagem" xfId="13" builtinId="5"/>
    <cellStyle name="Vírgula 2" xfId="7" xr:uid="{467F64B7-612B-4271-B6A2-9F896A0E9A82}"/>
    <cellStyle name="Vírgula 3" xfId="2" xr:uid="{D826AC4D-4A37-4295-9A0F-58F106709296}"/>
    <cellStyle name="Vírgula 4" xfId="10" xr:uid="{8F092623-C87E-4B5B-9629-A8BB7034F01F}"/>
  </cellStyles>
  <dxfs count="6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medium">
          <color indexed="64"/>
        </top>
      </border>
    </dxf>
    <dxf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8" formatCode="&quot;R$&quot;\ #,##0.00"/>
      <alignment horizontal="center" vertical="center" textRotation="0" wrapText="0" indent="0" justifyLastLine="0" shrinkToFit="0" readingOrder="0"/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8" formatCode="&quot;R$&quot;\ #,##0.00"/>
      <alignment horizontal="center" vertical="center" textRotation="0" wrapText="0" indent="0" justifyLastLine="0" shrinkToFit="0" readingOrder="0"/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8" formatCode="&quot;R$&quot;\ #,##0.00"/>
      <alignment horizontal="center" vertical="center" textRotation="0" wrapText="0" indent="0" justifyLastLine="0" shrinkToFit="0" readingOrder="0"/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8" formatCode="&quot;R$&quot;\ #,##0.00"/>
      <alignment horizontal="center" vertical="center" textRotation="0" wrapText="0" indent="0" justifyLastLine="0" shrinkToFit="0" readingOrder="0"/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8" formatCode="&quot;R$&quot;\ #,##0.00"/>
      <alignment horizontal="center" vertical="center" textRotation="0" wrapText="0" indent="0" justifyLastLine="0" shrinkToFit="0" readingOrder="0"/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168" formatCode="&quot;R$&quot;\ #,##0.0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8" formatCode="&quot;R$&quot;\ #,##0.00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8" formatCode="&quot;R$&quot;\ #,##0.00"/>
      <alignment horizontal="center" vertical="center" textRotation="0" wrapText="0" indent="0" justifyLastLine="0" shrinkToFit="0" readingOrder="0"/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color rgb="FFFF0000"/>
      </font>
      <fill>
        <patternFill>
          <bgColor rgb="FFFF9999"/>
        </patternFill>
      </fill>
    </dxf>
    <dxf>
      <font>
        <color rgb="FFFF0000"/>
      </font>
      <fill>
        <patternFill>
          <bgColor rgb="FFFF7C80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FF00FF"/>
      <color rgb="FFCCFFFF"/>
      <color rgb="FFFF7C80"/>
      <color rgb="FFFF99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jpg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Grafico!$D$1</c:f>
          <c:strCache>
            <c:ptCount val="1"/>
            <c:pt idx="0">
              <c:v>Energia elétrica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Grafico!$F$3:$F$14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Grafico!$G$3:$G$14</c:f>
              <c:numCache>
                <c:formatCode>_("R$"* #,##0.00_);_("R$"* \(#,##0.00\);_("R$"* "-"??_);_(@_)</c:formatCode>
                <c:ptCount val="12"/>
                <c:pt idx="0">
                  <c:v>370</c:v>
                </c:pt>
                <c:pt idx="1">
                  <c:v>421</c:v>
                </c:pt>
                <c:pt idx="2">
                  <c:v>230</c:v>
                </c:pt>
                <c:pt idx="3">
                  <c:v>450</c:v>
                </c:pt>
                <c:pt idx="4">
                  <c:v>386</c:v>
                </c:pt>
                <c:pt idx="5">
                  <c:v>154</c:v>
                </c:pt>
                <c:pt idx="6">
                  <c:v>463</c:v>
                </c:pt>
                <c:pt idx="7">
                  <c:v>422</c:v>
                </c:pt>
                <c:pt idx="8">
                  <c:v>316</c:v>
                </c:pt>
                <c:pt idx="9">
                  <c:v>476</c:v>
                </c:pt>
                <c:pt idx="10">
                  <c:v>174</c:v>
                </c:pt>
                <c:pt idx="11">
                  <c:v>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8-4448-B3DC-07ECAEFA295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215144431"/>
        <c:axId val="91317375"/>
      </c:barChart>
      <c:catAx>
        <c:axId val="215144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317375"/>
        <c:crosses val="autoZero"/>
        <c:auto val="1"/>
        <c:lblAlgn val="ctr"/>
        <c:lblOffset val="100"/>
        <c:noMultiLvlLbl val="0"/>
      </c:catAx>
      <c:valAx>
        <c:axId val="91317375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2151444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Grafico!$F$1</c:f>
          <c:strCache>
            <c:ptCount val="1"/>
            <c:pt idx="0">
              <c:v>Despesas c/ energia elétrica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Grafico!$G$2</c:f>
              <c:strCache>
                <c:ptCount val="1"/>
                <c:pt idx="0">
                  <c:v>VALOR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Grafico!$F$3:$F$14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Grafico!$G$3:$G$14</c:f>
              <c:numCache>
                <c:formatCode>_("R$"* #,##0.00_);_("R$"* \(#,##0.00\);_("R$"* "-"??_);_(@_)</c:formatCode>
                <c:ptCount val="12"/>
                <c:pt idx="0">
                  <c:v>370</c:v>
                </c:pt>
                <c:pt idx="1">
                  <c:v>421</c:v>
                </c:pt>
                <c:pt idx="2">
                  <c:v>230</c:v>
                </c:pt>
                <c:pt idx="3">
                  <c:v>450</c:v>
                </c:pt>
                <c:pt idx="4">
                  <c:v>386</c:v>
                </c:pt>
                <c:pt idx="5">
                  <c:v>154</c:v>
                </c:pt>
                <c:pt idx="6">
                  <c:v>463</c:v>
                </c:pt>
                <c:pt idx="7">
                  <c:v>422</c:v>
                </c:pt>
                <c:pt idx="8">
                  <c:v>316</c:v>
                </c:pt>
                <c:pt idx="9">
                  <c:v>476</c:v>
                </c:pt>
                <c:pt idx="10">
                  <c:v>174</c:v>
                </c:pt>
                <c:pt idx="11">
                  <c:v>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E5-482D-B0AA-77AA35D92D0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2023875055"/>
        <c:axId val="353792319"/>
      </c:barChart>
      <c:lineChart>
        <c:grouping val="standard"/>
        <c:varyColors val="0"/>
        <c:ser>
          <c:idx val="1"/>
          <c:order val="1"/>
          <c:tx>
            <c:strRef>
              <c:f>Grafico!$H$2</c:f>
              <c:strCache>
                <c:ptCount val="1"/>
                <c:pt idx="0">
                  <c:v>% Mês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lt1"/>
              </a:solidFill>
              <a:ln w="12700" cap="flat" cmpd="sng" algn="ctr">
                <a:solidFill>
                  <a:srgbClr val="FF0000"/>
                </a:solidFill>
                <a:prstDash val="solid"/>
                <a:miter lim="800000"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2Diag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Grafico!$F$3:$F$14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Grafico!$H$3:$H$14</c:f>
              <c:numCache>
                <c:formatCode>0%</c:formatCode>
                <c:ptCount val="12"/>
                <c:pt idx="0">
                  <c:v>8.9914945321992706E-2</c:v>
                </c:pt>
                <c:pt idx="1">
                  <c:v>0.10230862697448359</c:v>
                </c:pt>
                <c:pt idx="2">
                  <c:v>5.5893074119076548E-2</c:v>
                </c:pt>
                <c:pt idx="3">
                  <c:v>0.10935601458080195</c:v>
                </c:pt>
                <c:pt idx="4">
                  <c:v>9.3803159173754563E-2</c:v>
                </c:pt>
                <c:pt idx="5">
                  <c:v>3.7424058323207776E-2</c:v>
                </c:pt>
                <c:pt idx="6">
                  <c:v>0.11251518833535845</c:v>
                </c:pt>
                <c:pt idx="7">
                  <c:v>0.10255164034021871</c:v>
                </c:pt>
                <c:pt idx="8">
                  <c:v>7.6792223572296481E-2</c:v>
                </c:pt>
                <c:pt idx="9">
                  <c:v>0.11567436208991494</c:v>
                </c:pt>
                <c:pt idx="10">
                  <c:v>4.2284325637910083E-2</c:v>
                </c:pt>
                <c:pt idx="11">
                  <c:v>6.1482381530984204E-2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E5-482D-B0AA-77AA35D92D0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7353647"/>
        <c:axId val="209114191"/>
      </c:lineChart>
      <c:catAx>
        <c:axId val="20238750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792319"/>
        <c:crosses val="autoZero"/>
        <c:auto val="1"/>
        <c:lblAlgn val="ctr"/>
        <c:lblOffset val="100"/>
        <c:noMultiLvlLbl val="0"/>
      </c:catAx>
      <c:valAx>
        <c:axId val="353792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23875055"/>
        <c:crosses val="autoZero"/>
        <c:crossBetween val="between"/>
      </c:valAx>
      <c:valAx>
        <c:axId val="209114191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353647"/>
        <c:crosses val="max"/>
        <c:crossBetween val="between"/>
      </c:valAx>
      <c:catAx>
        <c:axId val="9735364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91141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Grafico!$F$1</c:f>
          <c:strCache>
            <c:ptCount val="1"/>
            <c:pt idx="0">
              <c:v>Despesas c/ energia elétrica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Grafico!$G$2</c:f>
              <c:strCache>
                <c:ptCount val="1"/>
                <c:pt idx="0">
                  <c:v>VALOR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Grafico!$F$3:$F$14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Grafico!$G$3:$G$14</c:f>
              <c:numCache>
                <c:formatCode>_("R$"* #,##0.00_);_("R$"* \(#,##0.00\);_("R$"* "-"??_);_(@_)</c:formatCode>
                <c:ptCount val="12"/>
                <c:pt idx="0">
                  <c:v>370</c:v>
                </c:pt>
                <c:pt idx="1">
                  <c:v>421</c:v>
                </c:pt>
                <c:pt idx="2">
                  <c:v>230</c:v>
                </c:pt>
                <c:pt idx="3">
                  <c:v>450</c:v>
                </c:pt>
                <c:pt idx="4">
                  <c:v>386</c:v>
                </c:pt>
                <c:pt idx="5">
                  <c:v>154</c:v>
                </c:pt>
                <c:pt idx="6">
                  <c:v>463</c:v>
                </c:pt>
                <c:pt idx="7">
                  <c:v>422</c:v>
                </c:pt>
                <c:pt idx="8">
                  <c:v>316</c:v>
                </c:pt>
                <c:pt idx="9">
                  <c:v>476</c:v>
                </c:pt>
                <c:pt idx="10">
                  <c:v>174</c:v>
                </c:pt>
                <c:pt idx="11">
                  <c:v>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C9-4048-9F11-326D4C9BC39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2023875055"/>
        <c:axId val="353792319"/>
      </c:barChart>
      <c:lineChart>
        <c:grouping val="standard"/>
        <c:varyColors val="0"/>
        <c:ser>
          <c:idx val="1"/>
          <c:order val="1"/>
          <c:tx>
            <c:strRef>
              <c:f>Grafico!$H$2</c:f>
              <c:strCache>
                <c:ptCount val="1"/>
                <c:pt idx="0">
                  <c:v>% Mês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Grafico!$F$3:$F$14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Grafico!$H$3:$H$14</c:f>
              <c:numCache>
                <c:formatCode>0%</c:formatCode>
                <c:ptCount val="12"/>
                <c:pt idx="0">
                  <c:v>8.9914945321992706E-2</c:v>
                </c:pt>
                <c:pt idx="1">
                  <c:v>0.10230862697448359</c:v>
                </c:pt>
                <c:pt idx="2">
                  <c:v>5.5893074119076548E-2</c:v>
                </c:pt>
                <c:pt idx="3">
                  <c:v>0.10935601458080195</c:v>
                </c:pt>
                <c:pt idx="4">
                  <c:v>9.3803159173754563E-2</c:v>
                </c:pt>
                <c:pt idx="5">
                  <c:v>3.7424058323207776E-2</c:v>
                </c:pt>
                <c:pt idx="6">
                  <c:v>0.11251518833535845</c:v>
                </c:pt>
                <c:pt idx="7">
                  <c:v>0.10255164034021871</c:v>
                </c:pt>
                <c:pt idx="8">
                  <c:v>7.6792223572296481E-2</c:v>
                </c:pt>
                <c:pt idx="9">
                  <c:v>0.11567436208991494</c:v>
                </c:pt>
                <c:pt idx="10">
                  <c:v>4.2284325637910083E-2</c:v>
                </c:pt>
                <c:pt idx="11">
                  <c:v>6.1482381530984204E-2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C9-4048-9F11-326D4C9BC39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7353647"/>
        <c:axId val="209114191"/>
      </c:lineChart>
      <c:catAx>
        <c:axId val="20238750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792319"/>
        <c:crosses val="autoZero"/>
        <c:auto val="1"/>
        <c:lblAlgn val="ctr"/>
        <c:lblOffset val="100"/>
        <c:noMultiLvlLbl val="0"/>
      </c:catAx>
      <c:valAx>
        <c:axId val="353792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23875055"/>
        <c:crosses val="autoZero"/>
        <c:crossBetween val="between"/>
      </c:valAx>
      <c:valAx>
        <c:axId val="209114191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353647"/>
        <c:crosses val="max"/>
        <c:crossBetween val="between"/>
      </c:valAx>
      <c:catAx>
        <c:axId val="9735364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91141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Grafico!$F$1</c:f>
          <c:strCache>
            <c:ptCount val="1"/>
            <c:pt idx="0">
              <c:v>Despesas c/ energia elétrica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0555555555555555E-2"/>
          <c:y val="0.24782407407407409"/>
          <c:w val="0.87232174103237092"/>
          <c:h val="0.538873213764946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Grafico!$G$2</c:f>
              <c:strCache>
                <c:ptCount val="1"/>
                <c:pt idx="0">
                  <c:v>VALOR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Grafico!$F$3:$F$14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Grafico!$G$3:$G$14</c:f>
              <c:numCache>
                <c:formatCode>_("R$"* #,##0.00_);_("R$"* \(#,##0.00\);_("R$"* "-"??_);_(@_)</c:formatCode>
                <c:ptCount val="12"/>
                <c:pt idx="0">
                  <c:v>370</c:v>
                </c:pt>
                <c:pt idx="1">
                  <c:v>421</c:v>
                </c:pt>
                <c:pt idx="2">
                  <c:v>230</c:v>
                </c:pt>
                <c:pt idx="3">
                  <c:v>450</c:v>
                </c:pt>
                <c:pt idx="4">
                  <c:v>386</c:v>
                </c:pt>
                <c:pt idx="5">
                  <c:v>154</c:v>
                </c:pt>
                <c:pt idx="6">
                  <c:v>463</c:v>
                </c:pt>
                <c:pt idx="7">
                  <c:v>422</c:v>
                </c:pt>
                <c:pt idx="8">
                  <c:v>316</c:v>
                </c:pt>
                <c:pt idx="9">
                  <c:v>476</c:v>
                </c:pt>
                <c:pt idx="10">
                  <c:v>174</c:v>
                </c:pt>
                <c:pt idx="11">
                  <c:v>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77-4F73-A1C9-121615F5AFC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2023875055"/>
        <c:axId val="353792319"/>
      </c:barChart>
      <c:lineChart>
        <c:grouping val="percentStacked"/>
        <c:varyColors val="0"/>
        <c:ser>
          <c:idx val="1"/>
          <c:order val="1"/>
          <c:tx>
            <c:strRef>
              <c:f>Grafico!$H$2</c:f>
              <c:strCache>
                <c:ptCount val="1"/>
                <c:pt idx="0">
                  <c:v>% Mês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diamond"/>
            <c:size val="24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Grafico!$F$3:$F$14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Grafico!$H$3:$H$14</c:f>
              <c:numCache>
                <c:formatCode>0%</c:formatCode>
                <c:ptCount val="12"/>
                <c:pt idx="0">
                  <c:v>8.9914945321992706E-2</c:v>
                </c:pt>
                <c:pt idx="1">
                  <c:v>0.10230862697448359</c:v>
                </c:pt>
                <c:pt idx="2">
                  <c:v>5.5893074119076548E-2</c:v>
                </c:pt>
                <c:pt idx="3">
                  <c:v>0.10935601458080195</c:v>
                </c:pt>
                <c:pt idx="4">
                  <c:v>9.3803159173754563E-2</c:v>
                </c:pt>
                <c:pt idx="5">
                  <c:v>3.7424058323207776E-2</c:v>
                </c:pt>
                <c:pt idx="6">
                  <c:v>0.11251518833535845</c:v>
                </c:pt>
                <c:pt idx="7">
                  <c:v>0.10255164034021871</c:v>
                </c:pt>
                <c:pt idx="8">
                  <c:v>7.6792223572296481E-2</c:v>
                </c:pt>
                <c:pt idx="9">
                  <c:v>0.11567436208991494</c:v>
                </c:pt>
                <c:pt idx="10">
                  <c:v>4.2284325637910083E-2</c:v>
                </c:pt>
                <c:pt idx="11">
                  <c:v>6.1482381530984204E-2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77-4F73-A1C9-121615F5AFC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7353647"/>
        <c:axId val="209114191"/>
      </c:lineChart>
      <c:catAx>
        <c:axId val="20238750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792319"/>
        <c:crosses val="autoZero"/>
        <c:auto val="1"/>
        <c:lblAlgn val="ctr"/>
        <c:lblOffset val="100"/>
        <c:noMultiLvlLbl val="0"/>
      </c:catAx>
      <c:valAx>
        <c:axId val="353792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23875055"/>
        <c:crosses val="autoZero"/>
        <c:crossBetween val="between"/>
      </c:valAx>
      <c:valAx>
        <c:axId val="209114191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353647"/>
        <c:crosses val="max"/>
        <c:crossBetween val="between"/>
      </c:valAx>
      <c:catAx>
        <c:axId val="9735364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91141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Grafico!$F$1</c:f>
          <c:strCache>
            <c:ptCount val="1"/>
            <c:pt idx="0">
              <c:v>Despesas c/ energia elétrica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Grafico!$K$21:$L$32</c:f>
              <c:multiLvlStrCache>
                <c:ptCount val="12"/>
                <c:lvl>
                  <c:pt idx="0">
                    <c:v>JAN</c:v>
                  </c:pt>
                  <c:pt idx="1">
                    <c:v>FEV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MAI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SET</c:v>
                  </c:pt>
                  <c:pt idx="9">
                    <c:v>OUT</c:v>
                  </c:pt>
                  <c:pt idx="10">
                    <c:v>NOV</c:v>
                  </c:pt>
                  <c:pt idx="11">
                    <c:v>DEZ</c:v>
                  </c:pt>
                </c:lvl>
                <c:lvl>
                  <c:pt idx="0">
                    <c:v>9%</c:v>
                  </c:pt>
                  <c:pt idx="1">
                    <c:v>10%</c:v>
                  </c:pt>
                  <c:pt idx="2">
                    <c:v>6%</c:v>
                  </c:pt>
                  <c:pt idx="3">
                    <c:v>11%</c:v>
                  </c:pt>
                  <c:pt idx="4">
                    <c:v>9%</c:v>
                  </c:pt>
                  <c:pt idx="5">
                    <c:v>4%</c:v>
                  </c:pt>
                  <c:pt idx="6">
                    <c:v>11%</c:v>
                  </c:pt>
                  <c:pt idx="7">
                    <c:v>10%</c:v>
                  </c:pt>
                  <c:pt idx="8">
                    <c:v>8%</c:v>
                  </c:pt>
                  <c:pt idx="9">
                    <c:v>12%</c:v>
                  </c:pt>
                  <c:pt idx="10">
                    <c:v>4%</c:v>
                  </c:pt>
                  <c:pt idx="11">
                    <c:v>6%</c:v>
                  </c:pt>
                </c:lvl>
              </c:multiLvlStrCache>
            </c:multiLvlStrRef>
          </c:cat>
          <c:val>
            <c:numRef>
              <c:f>Grafico!$M$21:$M$32</c:f>
              <c:numCache>
                <c:formatCode>_("R$"* #,##0.00_);_("R$"* \(#,##0.00\);_("R$"* "-"??_);_(@_)</c:formatCode>
                <c:ptCount val="12"/>
                <c:pt idx="0">
                  <c:v>370</c:v>
                </c:pt>
                <c:pt idx="1">
                  <c:v>421</c:v>
                </c:pt>
                <c:pt idx="2">
                  <c:v>230</c:v>
                </c:pt>
                <c:pt idx="3">
                  <c:v>450</c:v>
                </c:pt>
                <c:pt idx="4">
                  <c:v>386</c:v>
                </c:pt>
                <c:pt idx="5">
                  <c:v>154</c:v>
                </c:pt>
                <c:pt idx="6">
                  <c:v>463</c:v>
                </c:pt>
                <c:pt idx="7">
                  <c:v>422</c:v>
                </c:pt>
                <c:pt idx="8">
                  <c:v>316</c:v>
                </c:pt>
                <c:pt idx="9">
                  <c:v>476</c:v>
                </c:pt>
                <c:pt idx="10">
                  <c:v>174</c:v>
                </c:pt>
                <c:pt idx="11">
                  <c:v>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EC-49F6-B34D-975B5BC8ADD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114366351"/>
        <c:axId val="2018848671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8819522559680038E-2"/>
                  <c:y val="-0.1230769050049512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EC-49F6-B34D-975B5BC8ADD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EC-49F6-B34D-975B5BC8ADD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EC-49F6-B34D-975B5BC8ADD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4EC-49F6-B34D-975B5BC8ADD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EC-49F6-B34D-975B5BC8ADD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4EC-49F6-B34D-975B5BC8ADD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4EC-49F6-B34D-975B5BC8ADD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4EC-49F6-B34D-975B5BC8ADD5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4EC-49F6-B34D-975B5BC8ADD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4EC-49F6-B34D-975B5BC8ADD5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4EC-49F6-B34D-975B5BC8ADD5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4EC-49F6-B34D-975B5BC8ADD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Grafico!$K$21:$L$32</c:f>
              <c:multiLvlStrCache>
                <c:ptCount val="12"/>
                <c:lvl>
                  <c:pt idx="0">
                    <c:v>JAN</c:v>
                  </c:pt>
                  <c:pt idx="1">
                    <c:v>FEV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MAI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SET</c:v>
                  </c:pt>
                  <c:pt idx="9">
                    <c:v>OUT</c:v>
                  </c:pt>
                  <c:pt idx="10">
                    <c:v>NOV</c:v>
                  </c:pt>
                  <c:pt idx="11">
                    <c:v>DEZ</c:v>
                  </c:pt>
                </c:lvl>
                <c:lvl>
                  <c:pt idx="0">
                    <c:v>9%</c:v>
                  </c:pt>
                  <c:pt idx="1">
                    <c:v>10%</c:v>
                  </c:pt>
                  <c:pt idx="2">
                    <c:v>6%</c:v>
                  </c:pt>
                  <c:pt idx="3">
                    <c:v>11%</c:v>
                  </c:pt>
                  <c:pt idx="4">
                    <c:v>9%</c:v>
                  </c:pt>
                  <c:pt idx="5">
                    <c:v>4%</c:v>
                  </c:pt>
                  <c:pt idx="6">
                    <c:v>11%</c:v>
                  </c:pt>
                  <c:pt idx="7">
                    <c:v>10%</c:v>
                  </c:pt>
                  <c:pt idx="8">
                    <c:v>8%</c:v>
                  </c:pt>
                  <c:pt idx="9">
                    <c:v>12%</c:v>
                  </c:pt>
                  <c:pt idx="10">
                    <c:v>4%</c:v>
                  </c:pt>
                  <c:pt idx="11">
                    <c:v>6%</c:v>
                  </c:pt>
                </c:lvl>
              </c:multiLvlStrCache>
            </c:multiLvlStrRef>
          </c:cat>
          <c:val>
            <c:numRef>
              <c:f>Grafico!$N$21:$N$32</c:f>
              <c:numCache>
                <c:formatCode>_("R$"* #,##0.00_);_("R$"* \(#,##0.00\);_("R$"* "-"??_);_(@_)</c:formatCode>
                <c:ptCount val="12"/>
                <c:pt idx="0">
                  <c:v>342.91666666666669</c:v>
                </c:pt>
                <c:pt idx="1">
                  <c:v>342.91666666666669</c:v>
                </c:pt>
                <c:pt idx="2">
                  <c:v>342.91666666666669</c:v>
                </c:pt>
                <c:pt idx="3">
                  <c:v>342.91666666666669</c:v>
                </c:pt>
                <c:pt idx="4">
                  <c:v>342.91666666666669</c:v>
                </c:pt>
                <c:pt idx="5">
                  <c:v>342.91666666666669</c:v>
                </c:pt>
                <c:pt idx="6">
                  <c:v>342.91666666666669</c:v>
                </c:pt>
                <c:pt idx="7">
                  <c:v>342.91666666666669</c:v>
                </c:pt>
                <c:pt idx="8">
                  <c:v>342.91666666666669</c:v>
                </c:pt>
                <c:pt idx="9">
                  <c:v>342.91666666666669</c:v>
                </c:pt>
                <c:pt idx="10">
                  <c:v>342.91666666666669</c:v>
                </c:pt>
                <c:pt idx="11">
                  <c:v>342.91666666666669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EC-49F6-B34D-975B5BC8ADD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14366351"/>
        <c:axId val="2018848671"/>
      </c:lineChart>
      <c:catAx>
        <c:axId val="211436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8848671"/>
        <c:crosses val="autoZero"/>
        <c:auto val="1"/>
        <c:lblAlgn val="ctr"/>
        <c:lblOffset val="100"/>
        <c:noMultiLvlLbl val="0"/>
      </c:catAx>
      <c:valAx>
        <c:axId val="201884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4366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 dpi="0" rotWithShape="1">
      <a:blip xmlns:r="http://schemas.openxmlformats.org/officeDocument/2006/relationships" r:embed="rId3">
        <a:extLst>
          <a:ext uri="{28A0092B-C50C-407E-A947-70E740481C1C}">
            <a14:useLocalDpi xmlns:a14="http://schemas.microsoft.com/office/drawing/2010/main" val="0"/>
          </a:ext>
        </a:extLst>
      </a:blip>
      <a:srcRect/>
      <a:stretch>
        <a:fillRect/>
      </a:stretch>
    </a:blipFill>
    <a:ln w="9525" cap="flat" cmpd="sng" algn="ctr">
      <a:solidFill>
        <a:srgbClr val="00FFFF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Grafico!$F$1</c:f>
          <c:strCache>
            <c:ptCount val="1"/>
            <c:pt idx="0">
              <c:v>Despesas c/ energia elétrica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Grafico!$K$21:$L$32</c:f>
              <c:multiLvlStrCache>
                <c:ptCount val="12"/>
                <c:lvl>
                  <c:pt idx="0">
                    <c:v>JAN</c:v>
                  </c:pt>
                  <c:pt idx="1">
                    <c:v>FEV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MAI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SET</c:v>
                  </c:pt>
                  <c:pt idx="9">
                    <c:v>OUT</c:v>
                  </c:pt>
                  <c:pt idx="10">
                    <c:v>NOV</c:v>
                  </c:pt>
                  <c:pt idx="11">
                    <c:v>DEZ</c:v>
                  </c:pt>
                </c:lvl>
                <c:lvl>
                  <c:pt idx="0">
                    <c:v>9%</c:v>
                  </c:pt>
                  <c:pt idx="1">
                    <c:v>10%</c:v>
                  </c:pt>
                  <c:pt idx="2">
                    <c:v>6%</c:v>
                  </c:pt>
                  <c:pt idx="3">
                    <c:v>11%</c:v>
                  </c:pt>
                  <c:pt idx="4">
                    <c:v>9%</c:v>
                  </c:pt>
                  <c:pt idx="5">
                    <c:v>4%</c:v>
                  </c:pt>
                  <c:pt idx="6">
                    <c:v>11%</c:v>
                  </c:pt>
                  <c:pt idx="7">
                    <c:v>10%</c:v>
                  </c:pt>
                  <c:pt idx="8">
                    <c:v>8%</c:v>
                  </c:pt>
                  <c:pt idx="9">
                    <c:v>12%</c:v>
                  </c:pt>
                  <c:pt idx="10">
                    <c:v>4%</c:v>
                  </c:pt>
                  <c:pt idx="11">
                    <c:v>6%</c:v>
                  </c:pt>
                </c:lvl>
              </c:multiLvlStrCache>
            </c:multiLvlStrRef>
          </c:cat>
          <c:val>
            <c:numRef>
              <c:f>Grafico!$M$21:$M$32</c:f>
              <c:numCache>
                <c:formatCode>_("R$"* #,##0.00_);_("R$"* \(#,##0.00\);_("R$"* "-"??_);_(@_)</c:formatCode>
                <c:ptCount val="12"/>
                <c:pt idx="0">
                  <c:v>370</c:v>
                </c:pt>
                <c:pt idx="1">
                  <c:v>421</c:v>
                </c:pt>
                <c:pt idx="2">
                  <c:v>230</c:v>
                </c:pt>
                <c:pt idx="3">
                  <c:v>450</c:v>
                </c:pt>
                <c:pt idx="4">
                  <c:v>386</c:v>
                </c:pt>
                <c:pt idx="5">
                  <c:v>154</c:v>
                </c:pt>
                <c:pt idx="6">
                  <c:v>463</c:v>
                </c:pt>
                <c:pt idx="7">
                  <c:v>422</c:v>
                </c:pt>
                <c:pt idx="8">
                  <c:v>316</c:v>
                </c:pt>
                <c:pt idx="9">
                  <c:v>476</c:v>
                </c:pt>
                <c:pt idx="10">
                  <c:v>174</c:v>
                </c:pt>
                <c:pt idx="11">
                  <c:v>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D8-4CF6-9372-D817BA1A929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  <a:prstDash val="sysDash"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7.0724284464441942E-2"/>
                  <c:y val="-0.1864801590984110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BD8-4CF6-9372-D817BA1A929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BD8-4CF6-9372-D817BA1A929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BD8-4CF6-9372-D817BA1A9299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BD8-4CF6-9372-D817BA1A9299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BD8-4CF6-9372-D817BA1A9299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D8-4CF6-9372-D817BA1A9299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BD8-4CF6-9372-D817BA1A9299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BD8-4CF6-9372-D817BA1A9299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BD8-4CF6-9372-D817BA1A9299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BD8-4CF6-9372-D817BA1A9299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BD8-4CF6-9372-D817BA1A9299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BD8-4CF6-9372-D817BA1A92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Grafico!$K$21:$L$32</c:f>
              <c:multiLvlStrCache>
                <c:ptCount val="12"/>
                <c:lvl>
                  <c:pt idx="0">
                    <c:v>JAN</c:v>
                  </c:pt>
                  <c:pt idx="1">
                    <c:v>FEV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MAI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SET</c:v>
                  </c:pt>
                  <c:pt idx="9">
                    <c:v>OUT</c:v>
                  </c:pt>
                  <c:pt idx="10">
                    <c:v>NOV</c:v>
                  </c:pt>
                  <c:pt idx="11">
                    <c:v>DEZ</c:v>
                  </c:pt>
                </c:lvl>
                <c:lvl>
                  <c:pt idx="0">
                    <c:v>9%</c:v>
                  </c:pt>
                  <c:pt idx="1">
                    <c:v>10%</c:v>
                  </c:pt>
                  <c:pt idx="2">
                    <c:v>6%</c:v>
                  </c:pt>
                  <c:pt idx="3">
                    <c:v>11%</c:v>
                  </c:pt>
                  <c:pt idx="4">
                    <c:v>9%</c:v>
                  </c:pt>
                  <c:pt idx="5">
                    <c:v>4%</c:v>
                  </c:pt>
                  <c:pt idx="6">
                    <c:v>11%</c:v>
                  </c:pt>
                  <c:pt idx="7">
                    <c:v>10%</c:v>
                  </c:pt>
                  <c:pt idx="8">
                    <c:v>8%</c:v>
                  </c:pt>
                  <c:pt idx="9">
                    <c:v>12%</c:v>
                  </c:pt>
                  <c:pt idx="10">
                    <c:v>4%</c:v>
                  </c:pt>
                  <c:pt idx="11">
                    <c:v>6%</c:v>
                  </c:pt>
                </c:lvl>
              </c:multiLvlStrCache>
            </c:multiLvlStrRef>
          </c:cat>
          <c:val>
            <c:numRef>
              <c:f>Grafico!$N$21:$N$32</c:f>
              <c:numCache>
                <c:formatCode>_("R$"* #,##0.00_);_("R$"* \(#,##0.00\);_("R$"* "-"??_);_(@_)</c:formatCode>
                <c:ptCount val="12"/>
                <c:pt idx="0">
                  <c:v>342.91666666666669</c:v>
                </c:pt>
                <c:pt idx="1">
                  <c:v>342.91666666666669</c:v>
                </c:pt>
                <c:pt idx="2">
                  <c:v>342.91666666666669</c:v>
                </c:pt>
                <c:pt idx="3">
                  <c:v>342.91666666666669</c:v>
                </c:pt>
                <c:pt idx="4">
                  <c:v>342.91666666666669</c:v>
                </c:pt>
                <c:pt idx="5">
                  <c:v>342.91666666666669</c:v>
                </c:pt>
                <c:pt idx="6">
                  <c:v>342.91666666666669</c:v>
                </c:pt>
                <c:pt idx="7">
                  <c:v>342.91666666666669</c:v>
                </c:pt>
                <c:pt idx="8">
                  <c:v>342.91666666666669</c:v>
                </c:pt>
                <c:pt idx="9">
                  <c:v>342.91666666666669</c:v>
                </c:pt>
                <c:pt idx="10">
                  <c:v>342.91666666666669</c:v>
                </c:pt>
                <c:pt idx="11">
                  <c:v>342.91666666666669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BD8-4CF6-9372-D817BA1A929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shape val="box"/>
        <c:axId val="2114366351"/>
        <c:axId val="2018848671"/>
        <c:axId val="528371455"/>
      </c:bar3DChart>
      <c:catAx>
        <c:axId val="211436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8848671"/>
        <c:crosses val="autoZero"/>
        <c:auto val="1"/>
        <c:lblAlgn val="ctr"/>
        <c:lblOffset val="100"/>
        <c:noMultiLvlLbl val="0"/>
      </c:catAx>
      <c:valAx>
        <c:axId val="201884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4366351"/>
        <c:crosses val="autoZero"/>
        <c:crossBetween val="between"/>
      </c:valAx>
      <c:serAx>
        <c:axId val="52837145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8848671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'Grafico 2'!$D$1</c:f>
          <c:strCache>
            <c:ptCount val="1"/>
            <c:pt idx="0">
              <c:v>MKT p/ produtos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3331172353455818"/>
          <c:y val="0.21078521434820643"/>
          <c:w val="0.34487685914260718"/>
          <c:h val="0.57479476523767858"/>
        </c:manualLayout>
      </c:layout>
      <c:doughnutChart>
        <c:varyColors val="1"/>
        <c:ser>
          <c:idx val="0"/>
          <c:order val="0"/>
          <c:spPr>
            <a:effectLst>
              <a:softEdge rad="25400"/>
            </a:effectLst>
            <a:scene3d>
              <a:camera prst="orthographicFront"/>
              <a:lightRig rig="threePt" dir="t"/>
            </a:scene3d>
            <a:sp3d>
              <a:bevelT prst="relaxedInset"/>
            </a:sp3d>
          </c:spPr>
          <c:dPt>
            <c:idx val="0"/>
            <c:bubble3D val="0"/>
            <c:spPr>
              <a:solidFill>
                <a:srgbClr val="00FFFF"/>
              </a:solidFill>
              <a:ln w="19050">
                <a:solidFill>
                  <a:schemeClr val="lt1"/>
                </a:solidFill>
              </a:ln>
              <a:effectLst>
                <a:softEdge rad="25400"/>
              </a:effectLst>
              <a:scene3d>
                <a:camera prst="orthographicFront"/>
                <a:lightRig rig="threePt" dir="t"/>
              </a:scene3d>
              <a:sp3d>
                <a:bevelT prst="relaxedInset"/>
              </a:sp3d>
            </c:spPr>
            <c:extLst>
              <c:ext xmlns:c16="http://schemas.microsoft.com/office/drawing/2014/chart" uri="{C3380CC4-5D6E-409C-BE32-E72D297353CC}">
                <c16:uniqueId val="{00000001-A403-4A6C-8F99-BDD054EDE640}"/>
              </c:ext>
            </c:extLst>
          </c:dPt>
          <c:dPt>
            <c:idx val="1"/>
            <c:bubble3D val="0"/>
            <c:spPr>
              <a:solidFill>
                <a:srgbClr val="CCFFFF"/>
              </a:solidFill>
              <a:ln w="19050">
                <a:solidFill>
                  <a:schemeClr val="lt1"/>
                </a:solidFill>
              </a:ln>
              <a:effectLst>
                <a:softEdge rad="25400"/>
              </a:effectLst>
              <a:scene3d>
                <a:camera prst="orthographicFront"/>
                <a:lightRig rig="threePt" dir="t"/>
              </a:scene3d>
              <a:sp3d>
                <a:bevelT prst="relaxedInset"/>
              </a:sp3d>
            </c:spPr>
            <c:extLst>
              <c:ext xmlns:c16="http://schemas.microsoft.com/office/drawing/2014/chart" uri="{C3380CC4-5D6E-409C-BE32-E72D297353CC}">
                <c16:uniqueId val="{00000002-A403-4A6C-8F99-BDD054EDE640}"/>
              </c:ext>
            </c:extLst>
          </c:dPt>
          <c:dLbls>
            <c:dLbl>
              <c:idx val="0"/>
              <c:layout>
                <c:manualLayout>
                  <c:x val="-0.375"/>
                  <c:y val="4.6296296296296294E-3"/>
                </c:manualLayout>
              </c:layout>
              <c:showLegendKey val="1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403-4A6C-8F99-BDD054EDE640}"/>
                </c:ext>
              </c:extLst>
            </c:dLbl>
            <c:dLbl>
              <c:idx val="1"/>
              <c:layout>
                <c:manualLayout>
                  <c:x val="0.33611111111111114"/>
                  <c:y val="1.3888888888888888E-2"/>
                </c:manualLayout>
              </c:layout>
              <c:showLegendKey val="1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03-4A6C-8F99-BDD054EDE6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1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'Grafico 2'!$L$1:$L$2</c:f>
              <c:strCache>
                <c:ptCount val="2"/>
                <c:pt idx="0">
                  <c:v>SALDO</c:v>
                </c:pt>
                <c:pt idx="1">
                  <c:v>CONSUMIDO</c:v>
                </c:pt>
              </c:strCache>
            </c:strRef>
          </c:cat>
          <c:val>
            <c:numRef>
              <c:f>'Grafico 2'!$M$1:$M$2</c:f>
              <c:numCache>
                <c:formatCode>_("R$"* #,##0.00_);_("R$"* \(#,##0.00\);_("R$"* "-"??_);_(@_)</c:formatCode>
                <c:ptCount val="2"/>
                <c:pt idx="0">
                  <c:v>5600</c:v>
                </c:pt>
                <c:pt idx="1">
                  <c:v>44400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03-4A6C-8F99-BDD054EDE64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18"/>
        <c:holeSize val="6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'Grafico 2'!$F$2:$F$13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'Grafico 2'!$G$2:$G$13</c:f>
              <c:numCache>
                <c:formatCode>_("R$"* #,##0.00_);_("R$"* \(#,##0.00\);_("R$"* "-"??_);_(@_)</c:formatCode>
                <c:ptCount val="12"/>
                <c:pt idx="0">
                  <c:v>3500</c:v>
                </c:pt>
                <c:pt idx="1">
                  <c:v>2500</c:v>
                </c:pt>
                <c:pt idx="2">
                  <c:v>1700</c:v>
                </c:pt>
                <c:pt idx="3">
                  <c:v>1200</c:v>
                </c:pt>
                <c:pt idx="4">
                  <c:v>1500</c:v>
                </c:pt>
                <c:pt idx="5">
                  <c:v>4000</c:v>
                </c:pt>
                <c:pt idx="6">
                  <c:v>5000</c:v>
                </c:pt>
                <c:pt idx="7">
                  <c:v>6000</c:v>
                </c:pt>
                <c:pt idx="8">
                  <c:v>7000</c:v>
                </c:pt>
                <c:pt idx="9">
                  <c:v>5000</c:v>
                </c:pt>
                <c:pt idx="10">
                  <c:v>2000</c:v>
                </c:pt>
                <c:pt idx="11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4D-4077-9EF1-FFEA08259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dropLines>
        <c:marker val="1"/>
        <c:smooth val="0"/>
        <c:axId val="2114365151"/>
        <c:axId val="347437839"/>
      </c:lineChart>
      <c:catAx>
        <c:axId val="21143651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7437839"/>
        <c:crosses val="autoZero"/>
        <c:auto val="1"/>
        <c:lblAlgn val="ctr"/>
        <c:lblOffset val="100"/>
        <c:noMultiLvlLbl val="0"/>
      </c:catAx>
      <c:valAx>
        <c:axId val="34743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4365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'Grafico 2'!$H$1</c:f>
              <c:strCache>
                <c:ptCount val="1"/>
                <c:pt idx="0">
                  <c:v>Acumulado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'Grafico 2'!$F$2:$F$13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'Grafico 2'!$H$2:$H$13</c:f>
              <c:numCache>
                <c:formatCode>_("R$"* #,##0.00_);_("R$"* \(#,##0.00\);_("R$"* "-"??_);_(@_)</c:formatCode>
                <c:ptCount val="12"/>
                <c:pt idx="0">
                  <c:v>3500</c:v>
                </c:pt>
                <c:pt idx="1">
                  <c:v>6000</c:v>
                </c:pt>
                <c:pt idx="2">
                  <c:v>7700</c:v>
                </c:pt>
                <c:pt idx="3">
                  <c:v>8900</c:v>
                </c:pt>
                <c:pt idx="4">
                  <c:v>10400</c:v>
                </c:pt>
                <c:pt idx="5">
                  <c:v>14400</c:v>
                </c:pt>
                <c:pt idx="6">
                  <c:v>19400</c:v>
                </c:pt>
                <c:pt idx="7">
                  <c:v>25400</c:v>
                </c:pt>
                <c:pt idx="8">
                  <c:v>32400</c:v>
                </c:pt>
                <c:pt idx="9">
                  <c:v>37400</c:v>
                </c:pt>
                <c:pt idx="10">
                  <c:v>39400</c:v>
                </c:pt>
                <c:pt idx="11">
                  <c:v>44400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59-4AA8-B212-3093CCA311F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dropLines>
        <c:marker val="1"/>
        <c:smooth val="0"/>
        <c:axId val="211554127"/>
        <c:axId val="91300319"/>
      </c:lineChart>
      <c:catAx>
        <c:axId val="211554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300319"/>
        <c:crosses val="autoZero"/>
        <c:auto val="1"/>
        <c:lblAlgn val="ctr"/>
        <c:lblOffset val="100"/>
        <c:noMultiLvlLbl val="0"/>
      </c:catAx>
      <c:valAx>
        <c:axId val="91300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5541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1.png"/><Relationship Id="rId6" Type="http://schemas.openxmlformats.org/officeDocument/2006/relationships/image" Target="../media/image8.png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28575</xdr:rowOff>
    </xdr:from>
    <xdr:to>
      <xdr:col>1</xdr:col>
      <xdr:colOff>2581275</xdr:colOff>
      <xdr:row>12</xdr:row>
      <xdr:rowOff>180975</xdr:rowOff>
    </xdr:to>
    <xdr:sp macro="" textlink="">
      <xdr:nvSpPr>
        <xdr:cNvPr id="2" name="Elips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143250" y="1752600"/>
          <a:ext cx="2514600" cy="723900"/>
        </a:xfrm>
        <a:prstGeom prst="ellips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400"/>
            <a:t>=esquerda()</a:t>
          </a:r>
        </a:p>
      </xdr:txBody>
    </xdr:sp>
    <xdr:clientData/>
  </xdr:twoCellAnchor>
  <xdr:twoCellAnchor>
    <xdr:from>
      <xdr:col>5</xdr:col>
      <xdr:colOff>238125</xdr:colOff>
      <xdr:row>10</xdr:row>
      <xdr:rowOff>66675</xdr:rowOff>
    </xdr:from>
    <xdr:to>
      <xdr:col>5</xdr:col>
      <xdr:colOff>2771774</xdr:colOff>
      <xdr:row>13</xdr:row>
      <xdr:rowOff>161925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772775" y="1981200"/>
          <a:ext cx="2533649" cy="666750"/>
        </a:xfrm>
        <a:prstGeom prst="ellips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400"/>
            <a:t>=ext.texto()</a:t>
          </a:r>
        </a:p>
        <a:p>
          <a:pPr algn="l"/>
          <a:endParaRPr lang="pt-BR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104775</xdr:colOff>
      <xdr:row>3</xdr:row>
      <xdr:rowOff>95250</xdr:rowOff>
    </xdr:from>
    <xdr:to>
      <xdr:col>12</xdr:col>
      <xdr:colOff>497681</xdr:colOff>
      <xdr:row>5</xdr:row>
      <xdr:rowOff>142875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67400" y="666750"/>
          <a:ext cx="392906" cy="428625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</xdr:colOff>
      <xdr:row>13</xdr:row>
      <xdr:rowOff>142875</xdr:rowOff>
    </xdr:from>
    <xdr:to>
      <xdr:col>3</xdr:col>
      <xdr:colOff>455852</xdr:colOff>
      <xdr:row>21</xdr:row>
      <xdr:rowOff>287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2619375"/>
          <a:ext cx="1151177" cy="1381412"/>
        </a:xfrm>
        <a:prstGeom prst="rect">
          <a:avLst/>
        </a:prstGeom>
      </xdr:spPr>
    </xdr:pic>
    <xdr:clientData/>
  </xdr:twoCellAnchor>
  <xdr:twoCellAnchor editAs="oneCell">
    <xdr:from>
      <xdr:col>17</xdr:col>
      <xdr:colOff>79352</xdr:colOff>
      <xdr:row>9</xdr:row>
      <xdr:rowOff>28575</xdr:rowOff>
    </xdr:from>
    <xdr:to>
      <xdr:col>19</xdr:col>
      <xdr:colOff>139620</xdr:colOff>
      <xdr:row>20</xdr:row>
      <xdr:rowOff>114299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13852" y="1743075"/>
          <a:ext cx="1489018" cy="2181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171451</xdr:colOff>
      <xdr:row>3</xdr:row>
      <xdr:rowOff>9525</xdr:rowOff>
    </xdr:from>
    <xdr:to>
      <xdr:col>9</xdr:col>
      <xdr:colOff>564357</xdr:colOff>
      <xdr:row>5</xdr:row>
      <xdr:rowOff>57150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91126" y="581025"/>
          <a:ext cx="392906" cy="428625"/>
        </a:xfrm>
        <a:prstGeom prst="rect">
          <a:avLst/>
        </a:prstGeom>
      </xdr:spPr>
    </xdr:pic>
    <xdr:clientData/>
  </xdr:twoCellAnchor>
  <xdr:twoCellAnchor editAs="oneCell">
    <xdr:from>
      <xdr:col>17</xdr:col>
      <xdr:colOff>504824</xdr:colOff>
      <xdr:row>12</xdr:row>
      <xdr:rowOff>148320</xdr:rowOff>
    </xdr:from>
    <xdr:to>
      <xdr:col>18</xdr:col>
      <xdr:colOff>371566</xdr:colOff>
      <xdr:row>22</xdr:row>
      <xdr:rowOff>152706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EFEFE"/>
            </a:clrFrom>
            <a:clrTo>
              <a:srgbClr val="FEFEFE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1239499" y="2434320"/>
          <a:ext cx="581117" cy="1909386"/>
        </a:xfrm>
        <a:prstGeom prst="rect">
          <a:avLst/>
        </a:prstGeom>
      </xdr:spPr>
    </xdr:pic>
    <xdr:clientData/>
  </xdr:twoCellAnchor>
  <xdr:twoCellAnchor editAs="oneCell">
    <xdr:from>
      <xdr:col>16</xdr:col>
      <xdr:colOff>314326</xdr:colOff>
      <xdr:row>7</xdr:row>
      <xdr:rowOff>180974</xdr:rowOff>
    </xdr:from>
    <xdr:to>
      <xdr:col>18</xdr:col>
      <xdr:colOff>552762</xdr:colOff>
      <xdr:row>13</xdr:row>
      <xdr:rowOff>38099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duotone>
            <a:prstClr val="black"/>
            <a:schemeClr val="tx2">
              <a:lumMod val="60000"/>
              <a:lumOff val="40000"/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34626" y="1514474"/>
          <a:ext cx="1667186" cy="1000125"/>
        </a:xfrm>
        <a:prstGeom prst="rect">
          <a:avLst/>
        </a:prstGeom>
      </xdr:spPr>
    </xdr:pic>
    <xdr:clientData/>
  </xdr:twoCellAnchor>
  <xdr:twoCellAnchor editAs="oneCell">
    <xdr:from>
      <xdr:col>16</xdr:col>
      <xdr:colOff>485775</xdr:colOff>
      <xdr:row>9</xdr:row>
      <xdr:rowOff>76200</xdr:rowOff>
    </xdr:from>
    <xdr:to>
      <xdr:col>18</xdr:col>
      <xdr:colOff>447675</xdr:colOff>
      <xdr:row>11</xdr:row>
      <xdr:rowOff>66675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06075" y="1790700"/>
          <a:ext cx="1390650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323850</xdr:colOff>
      <xdr:row>39</xdr:row>
      <xdr:rowOff>93133</xdr:rowOff>
    </xdr:from>
    <xdr:to>
      <xdr:col>11</xdr:col>
      <xdr:colOff>271992</xdr:colOff>
      <xdr:row>42</xdr:row>
      <xdr:rowOff>74083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33925" y="7522633"/>
          <a:ext cx="1986492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247650</xdr:colOff>
      <xdr:row>41</xdr:row>
      <xdr:rowOff>0</xdr:rowOff>
    </xdr:from>
    <xdr:to>
      <xdr:col>11</xdr:col>
      <xdr:colOff>681313</xdr:colOff>
      <xdr:row>51</xdr:row>
      <xdr:rowOff>87385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7810500"/>
          <a:ext cx="1148038" cy="199238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3</xdr:row>
      <xdr:rowOff>109537</xdr:rowOff>
    </xdr:from>
    <xdr:to>
      <xdr:col>0</xdr:col>
      <xdr:colOff>5667375</xdr:colOff>
      <xdr:row>18</xdr:row>
      <xdr:rowOff>85725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114299</xdr:colOff>
      <xdr:row>1</xdr:row>
      <xdr:rowOff>42862</xdr:rowOff>
    </xdr:from>
    <xdr:to>
      <xdr:col>24</xdr:col>
      <xdr:colOff>504824</xdr:colOff>
      <xdr:row>15</xdr:row>
      <xdr:rowOff>142875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171450</xdr:colOff>
      <xdr:row>0</xdr:row>
      <xdr:rowOff>200024</xdr:rowOff>
    </xdr:from>
    <xdr:to>
      <xdr:col>16</xdr:col>
      <xdr:colOff>552450</xdr:colOff>
      <xdr:row>15</xdr:row>
      <xdr:rowOff>133349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114300</xdr:colOff>
      <xdr:row>0</xdr:row>
      <xdr:rowOff>180975</xdr:rowOff>
    </xdr:from>
    <xdr:to>
      <xdr:col>34</xdr:col>
      <xdr:colOff>85725</xdr:colOff>
      <xdr:row>15</xdr:row>
      <xdr:rowOff>161925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200025</xdr:colOff>
      <xdr:row>18</xdr:row>
      <xdr:rowOff>171450</xdr:rowOff>
    </xdr:from>
    <xdr:to>
      <xdr:col>24</xdr:col>
      <xdr:colOff>466725</xdr:colOff>
      <xdr:row>36</xdr:row>
      <xdr:rowOff>123825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0</xdr:colOff>
      <xdr:row>19</xdr:row>
      <xdr:rowOff>0</xdr:rowOff>
    </xdr:from>
    <xdr:to>
      <xdr:col>35</xdr:col>
      <xdr:colOff>304800</xdr:colOff>
      <xdr:row>36</xdr:row>
      <xdr:rowOff>157163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600075</xdr:colOff>
      <xdr:row>3</xdr:row>
      <xdr:rowOff>161925</xdr:rowOff>
    </xdr:from>
    <xdr:to>
      <xdr:col>34</xdr:col>
      <xdr:colOff>533400</xdr:colOff>
      <xdr:row>18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/>
      </xdr:nvSpPr>
      <xdr:spPr>
        <a:xfrm>
          <a:off x="16678275" y="742950"/>
          <a:ext cx="12125325" cy="2867025"/>
        </a:xfrm>
        <a:prstGeom prst="rect">
          <a:avLst/>
        </a:prstGeom>
        <a:noFill/>
        <a:ln>
          <a:solidFill>
            <a:srgbClr val="00FFFF"/>
          </a:solidFill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47625</xdr:colOff>
      <xdr:row>4</xdr:row>
      <xdr:rowOff>61912</xdr:rowOff>
    </xdr:from>
    <xdr:to>
      <xdr:col>14</xdr:col>
      <xdr:colOff>390525</xdr:colOff>
      <xdr:row>18</xdr:row>
      <xdr:rowOff>138112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47625</xdr:colOff>
      <xdr:row>4</xdr:row>
      <xdr:rowOff>42862</xdr:rowOff>
    </xdr:from>
    <xdr:to>
      <xdr:col>23</xdr:col>
      <xdr:colOff>428625</xdr:colOff>
      <xdr:row>18</xdr:row>
      <xdr:rowOff>119062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447675</xdr:colOff>
      <xdr:row>4</xdr:row>
      <xdr:rowOff>42862</xdr:rowOff>
    </xdr:from>
    <xdr:to>
      <xdr:col>34</xdr:col>
      <xdr:colOff>352425</xdr:colOff>
      <xdr:row>18</xdr:row>
      <xdr:rowOff>119062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0.39375</cdr:x>
      <cdr:y>0.31076</cdr:y>
    </cdr:from>
    <cdr:to>
      <cdr:x>0.61458</cdr:x>
      <cdr:y>0.68576</cdr:y>
    </cdr:to>
    <cdr:sp macro="" textlink="'Grafico 2'!$M$3">
      <cdr:nvSpPr>
        <cdr:cNvPr id="2" name="Elipse 1">
          <a:extLst xmlns:a="http://schemas.openxmlformats.org/drawingml/2006/main">
            <a:ext uri="{FF2B5EF4-FFF2-40B4-BE49-F238E27FC236}">
              <a16:creationId xmlns:a16="http://schemas.microsoft.com/office/drawing/2014/main" id="{6A374D26-1EAB-4C19-80DB-BD25DBDDA71C}"/>
            </a:ext>
          </a:extLst>
        </cdr:cNvPr>
        <cdr:cNvSpPr/>
      </cdr:nvSpPr>
      <cdr:spPr>
        <a:xfrm xmlns:a="http://schemas.openxmlformats.org/drawingml/2006/main">
          <a:off x="1800225" y="852488"/>
          <a:ext cx="1009650" cy="1028700"/>
        </a:xfrm>
        <a:prstGeom xmlns:a="http://schemas.openxmlformats.org/drawingml/2006/main" prst="ellipse">
          <a:avLst/>
        </a:prstGeom>
        <a:solidFill xmlns:a="http://schemas.openxmlformats.org/drawingml/2006/main">
          <a:srgbClr val="CCFFFF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lIns="0" tIns="0" rIns="0" bIns="0" anchor="ctr"/>
        <a:lstStyle xmlns:a="http://schemas.openxmlformats.org/drawingml/2006/main"/>
        <a:p xmlns:a="http://schemas.openxmlformats.org/drawingml/2006/main">
          <a:pPr algn="ctr"/>
          <a:fld id="{30FE15E6-F3E5-4180-971D-22ED117F2CF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88,80%</a:t>
          </a:fld>
          <a:endParaRPr lang="pt-BR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123825</xdr:colOff>
      <xdr:row>5</xdr:row>
      <xdr:rowOff>38101</xdr:rowOff>
    </xdr:from>
    <xdr:to>
      <xdr:col>8</xdr:col>
      <xdr:colOff>1323975</xdr:colOff>
      <xdr:row>8</xdr:row>
      <xdr:rowOff>142876</xdr:rowOff>
    </xdr:to>
    <xdr:sp macro="[0]!Escrever_cabecalho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11325225" y="1009651"/>
          <a:ext cx="1200150" cy="6858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Macro</a:t>
          </a:r>
          <a:r>
            <a:rPr lang="pt-BR" sz="1100" baseline="0"/>
            <a:t> cabeçalho</a:t>
          </a:r>
        </a:p>
      </xdr:txBody>
    </xdr:sp>
    <xdr:clientData/>
  </xdr:twoCellAnchor>
  <xdr:twoCellAnchor>
    <xdr:from>
      <xdr:col>11</xdr:col>
      <xdr:colOff>0</xdr:colOff>
      <xdr:row>6</xdr:row>
      <xdr:rowOff>0</xdr:rowOff>
    </xdr:from>
    <xdr:to>
      <xdr:col>15</xdr:col>
      <xdr:colOff>590550</xdr:colOff>
      <xdr:row>8</xdr:row>
      <xdr:rowOff>161925</xdr:rowOff>
    </xdr:to>
    <xdr:sp macro="[0]!Abrir_planilha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17087850" y="1171575"/>
          <a:ext cx="3028950" cy="542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IR PARA PASTA "VENDAS VBA MACRO"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1</xdr:row>
          <xdr:rowOff>152400</xdr:rowOff>
        </xdr:from>
        <xdr:to>
          <xdr:col>6</xdr:col>
          <xdr:colOff>220980</xdr:colOff>
          <xdr:row>3</xdr:row>
          <xdr:rowOff>83820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F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Classificar Registros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gildo/Hosp00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atorios"/>
      <sheetName val="BaseDados"/>
      <sheetName val="Cenario"/>
      <sheetName val="Dinamicas"/>
      <sheetName val="AreaTrabalho"/>
    </sheetNames>
    <sheetDataSet>
      <sheetData sheetId="0"/>
      <sheetData sheetId="1"/>
      <sheetData sheetId="2">
        <row r="34">
          <cell r="C34">
            <v>7.8</v>
          </cell>
        </row>
      </sheetData>
      <sheetData sheetId="3"/>
      <sheetData sheetId="4">
        <row r="9">
          <cell r="M9" t="str">
            <v>Médico</v>
          </cell>
          <cell r="N9" t="str">
            <v>Pontualidade</v>
          </cell>
          <cell r="O9" t="str">
            <v>Formação</v>
          </cell>
          <cell r="P9" t="str">
            <v>Equipe</v>
          </cell>
          <cell r="Q9" t="str">
            <v>Comunicação</v>
          </cell>
          <cell r="R9" t="str">
            <v>Relacionamento</v>
          </cell>
          <cell r="S9" t="str">
            <v>Média</v>
          </cell>
          <cell r="T9" t="str">
            <v>P.FORTE</v>
          </cell>
          <cell r="U9" t="str">
            <v>P.FRACO</v>
          </cell>
        </row>
        <row r="10">
          <cell r="M10" t="str">
            <v>DR. RUBENS MIERA</v>
          </cell>
          <cell r="N10">
            <v>10</v>
          </cell>
          <cell r="O10">
            <v>9</v>
          </cell>
          <cell r="P10">
            <v>4</v>
          </cell>
          <cell r="Q10">
            <v>5</v>
          </cell>
          <cell r="R10">
            <v>1</v>
          </cell>
          <cell r="S10">
            <v>5.8</v>
          </cell>
          <cell r="T10" t="str">
            <v>Pontualidade</v>
          </cell>
          <cell r="U10" t="str">
            <v>Relacionamento</v>
          </cell>
        </row>
        <row r="11">
          <cell r="M11" t="str">
            <v>DR. GILBERTO GENTIL</v>
          </cell>
          <cell r="N11">
            <v>4</v>
          </cell>
          <cell r="O11">
            <v>9</v>
          </cell>
          <cell r="P11">
            <v>10</v>
          </cell>
          <cell r="Q11">
            <v>1</v>
          </cell>
          <cell r="R11">
            <v>3</v>
          </cell>
          <cell r="S11">
            <v>5.4</v>
          </cell>
          <cell r="T11" t="str">
            <v>Equipe</v>
          </cell>
          <cell r="U11" t="str">
            <v>Comunicação</v>
          </cell>
        </row>
        <row r="12">
          <cell r="M12" t="str">
            <v>DRA. ELIANA LISBOA</v>
          </cell>
          <cell r="N12">
            <v>4</v>
          </cell>
          <cell r="O12">
            <v>10</v>
          </cell>
          <cell r="P12">
            <v>5</v>
          </cell>
          <cell r="Q12">
            <v>9</v>
          </cell>
          <cell r="R12">
            <v>6</v>
          </cell>
          <cell r="S12">
            <v>6.8</v>
          </cell>
          <cell r="T12" t="str">
            <v>Formação</v>
          </cell>
          <cell r="U12" t="str">
            <v>Pontualidade</v>
          </cell>
        </row>
        <row r="13">
          <cell r="M13" t="str">
            <v>DRA. EUNICE GOMES</v>
          </cell>
          <cell r="N13">
            <v>0</v>
          </cell>
          <cell r="O13">
            <v>0</v>
          </cell>
          <cell r="P13">
            <v>0</v>
          </cell>
          <cell r="Q13">
            <v>4</v>
          </cell>
          <cell r="R13">
            <v>7</v>
          </cell>
          <cell r="S13">
            <v>2.2000000000000002</v>
          </cell>
          <cell r="T13" t="str">
            <v>Relacionamento</v>
          </cell>
          <cell r="U13" t="str">
            <v>Pontualidade</v>
          </cell>
        </row>
        <row r="14">
          <cell r="M14" t="str">
            <v>DR. RAFAEL JULIANO</v>
          </cell>
          <cell r="N14">
            <v>1</v>
          </cell>
          <cell r="O14">
            <v>4</v>
          </cell>
          <cell r="P14">
            <v>10</v>
          </cell>
          <cell r="Q14">
            <v>1</v>
          </cell>
          <cell r="R14">
            <v>6</v>
          </cell>
          <cell r="S14">
            <v>4.4000000000000004</v>
          </cell>
          <cell r="T14" t="str">
            <v>Equipe</v>
          </cell>
          <cell r="U14" t="str">
            <v>Pontualidade</v>
          </cell>
        </row>
        <row r="15">
          <cell r="M15" t="str">
            <v>DRA. NEIDE BONANI</v>
          </cell>
          <cell r="N15">
            <v>6</v>
          </cell>
          <cell r="O15">
            <v>7</v>
          </cell>
          <cell r="P15">
            <v>10</v>
          </cell>
          <cell r="Q15">
            <v>8</v>
          </cell>
          <cell r="R15">
            <v>8</v>
          </cell>
          <cell r="S15">
            <v>7.8</v>
          </cell>
          <cell r="T15" t="str">
            <v>Equipe</v>
          </cell>
          <cell r="U15" t="str">
            <v>Pontualidade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3F5DAB-07E0-4273-975B-A8ECF16BC2DB}" name="Tabela1" displayName="Tabela1" ref="F2:H14" totalsRowShown="0" tableBorderDxfId="65">
  <autoFilter ref="F2:H14" xr:uid="{EA1A760F-965A-4417-9AC8-3FEB834B161F}"/>
  <tableColumns count="3">
    <tableColumn id="1" xr3:uid="{E5B42EA0-9BB7-46D7-AD75-56AC7BB50735}" name="Período " dataDxfId="64"/>
    <tableColumn id="2" xr3:uid="{604EB333-020A-4189-9182-7E62A75937F6}" name="VALOR" dataDxfId="63"/>
    <tableColumn id="3" xr3:uid="{43779FF5-5AAE-48D4-BABE-A606F83C268D}" name="% Mês" dataDxfId="62">
      <calculatedColumnFormula>G3/$D$3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BAEEFD0-0703-4390-9108-4F4CC8882BAD}" name="Tabela13" displayName="Tabela13" ref="K20:N32" totalsRowShown="0" tableBorderDxfId="61">
  <autoFilter ref="K20:N32" xr:uid="{7EB645D7-5FBD-47F1-A31A-A81A3473FD11}"/>
  <tableColumns count="4">
    <tableColumn id="3" xr3:uid="{6928D16E-C38B-4CA1-8359-A96530AD5588}" name="% Mês" dataDxfId="60">
      <calculatedColumnFormula>M21/$D$3</calculatedColumnFormula>
    </tableColumn>
    <tableColumn id="1" xr3:uid="{777A7979-A94A-48E6-82D3-8D0B6C630EB9}" name="Período " dataDxfId="59"/>
    <tableColumn id="2" xr3:uid="{5919E56C-63BF-4C98-96E3-FA7E8078C7B8}" name="VALOR" dataDxfId="58"/>
    <tableColumn id="4" xr3:uid="{EDD62246-0FB6-4A53-8017-1D75280C7DA2}" name="Média" dataDxfId="5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A2A3291-0E62-46F8-B14F-27E84B740652}" name="Tabela3" displayName="Tabela3" ref="B7:D20" totalsRowCount="1" headerRowDxfId="52" headerRowBorderDxfId="51" tableBorderDxfId="50">
  <autoFilter ref="B7:D19" xr:uid="{B91C7D03-D91B-4E58-8A95-D229AA0D2D8C}"/>
  <tableColumns count="3">
    <tableColumn id="1" xr3:uid="{6CF345AE-DA49-415C-A255-789849AF044A}" name="2020" totalsRowLabel="Total"/>
    <tableColumn id="2" xr3:uid="{3E06B4BB-072C-425E-8413-BF5F2FAEE7AD}" name="valor " totalsRowFunction="sum" dataDxfId="49" totalsRowDxfId="48"/>
    <tableColumn id="3" xr3:uid="{AF1B4505-61C5-4F48-B1C5-CCE190CBD4C1}" name="indidcador " totalsRowFunction="cou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8CEAC0-1559-45FD-8137-23D13A718BF3}" name="Tabela35" displayName="Tabela35" ref="F7:H20" totalsRowCount="1" headerRowDxfId="47" headerRowBorderDxfId="46" tableBorderDxfId="45">
  <autoFilter ref="F7:H19" xr:uid="{0650B9FB-1EBA-488E-AD7C-0AF8CEB55EEA}"/>
  <tableColumns count="3">
    <tableColumn id="1" xr3:uid="{48CE27C5-33D5-4E67-A662-843694C597C7}" name="2020" totalsRowLabel="Total" dataDxfId="44"/>
    <tableColumn id="2" xr3:uid="{B75A649A-6171-44E6-922F-62A7ED468EC0}" name="valor " totalsRowFunction="sum" dataDxfId="43" totalsRowDxfId="42"/>
    <tableColumn id="3" xr3:uid="{583E605F-FDE4-4AF6-8B7A-C639B91E150B}" name="indidcador " totalsRowFunction="cou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E0DCDFE-A7D6-4714-918A-132DE5D77107}" name="Tabela356" displayName="Tabela356" ref="J7:L20" totalsRowCount="1" headerRowDxfId="41" headerRowBorderDxfId="40" tableBorderDxfId="39">
  <autoFilter ref="J7:L19" xr:uid="{DFE03508-568C-45EE-8582-7089FDBF87F6}"/>
  <tableColumns count="3">
    <tableColumn id="1" xr3:uid="{2C89AA7D-B9A8-4997-808B-0A75A6FFCAA2}" name="2020" totalsRowLabel="Total" dataDxfId="38"/>
    <tableColumn id="2" xr3:uid="{44A248CD-E24D-4B4B-B6B1-0E546F1F58F5}" name="valor " totalsRowFunction="sum" dataDxfId="37" totalsRowDxfId="36"/>
    <tableColumn id="3" xr3:uid="{08B9766D-4434-4AA6-A432-DBD302DE1C0A}" name="indidcador " totalsRowFunction="cou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BF6C5A-8081-431B-AD0A-13CEB5E02855}" name="Tabela3567" displayName="Tabela3567" ref="N7:P20" totalsRowCount="1" headerRowDxfId="35" headerRowBorderDxfId="34" tableBorderDxfId="33">
  <autoFilter ref="N7:P19" xr:uid="{E20A7D13-5AF3-41E6-B50F-F06A38190F6D}"/>
  <tableColumns count="3">
    <tableColumn id="1" xr3:uid="{DD44E3BE-EE56-4259-A697-42474E6DFE91}" name="2020" totalsRowLabel="Total"/>
    <tableColumn id="2" xr3:uid="{67786005-43FC-4E6F-B65D-AC515F766896}" name="valor " totalsRowFunction="sum" dataDxfId="32" totalsRowDxfId="31"/>
    <tableColumn id="3" xr3:uid="{DD988765-A21C-40DA-9658-3B60F86DD4CF}" name="indidcador " totalsRowFunction="count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EF576EC-3C7B-4BD2-80F3-25F5EF531639}" name="Tabela35678" displayName="Tabela35678" ref="R7:T20" totalsRowCount="1" headerRowDxfId="30" headerRowBorderDxfId="29" tableBorderDxfId="28">
  <autoFilter ref="R7:T19" xr:uid="{2F511F61-B538-4F80-8829-D4603F67B1D2}"/>
  <tableColumns count="3">
    <tableColumn id="1" xr3:uid="{49A1352F-DC4F-4C52-9B7C-FA7E836C7398}" name="2020" totalsRowLabel="Total"/>
    <tableColumn id="2" xr3:uid="{EDC6774C-1B74-4892-9A7D-E06D35B959C4}" name="valor " totalsRowFunction="sum" dataDxfId="27" totalsRowDxfId="26"/>
    <tableColumn id="3" xr3:uid="{541129FB-520B-4EDF-953B-52ED9291C513}" name="indidcador " dataDxfId="25">
      <calculatedColumnFormula>IF(Tabela35678[[#This Row],[valor ]]&gt;AVERAGE(Tabela35678[[valor ]]),0,1)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A063050-6958-4895-8EAB-D696E566A8CF}" name="Tabela356789" displayName="Tabela356789" ref="V7:X20" totalsRowCount="1" headerRowDxfId="24" headerRowBorderDxfId="23" tableBorderDxfId="22">
  <autoFilter ref="V7:X19" xr:uid="{0FAE32BD-585F-4C94-9713-D9C27F289B8E}"/>
  <tableColumns count="3">
    <tableColumn id="1" xr3:uid="{BF8C4C61-C521-4156-8E23-96446D68962E}" name="2020" totalsRowLabel="Total"/>
    <tableColumn id="2" xr3:uid="{845806C4-9509-4731-9FFD-D339EC497E61}" name="valor " totalsRowFunction="sum" dataDxfId="21" totalsRowDxfId="20"/>
    <tableColumn id="3" xr3:uid="{BA9C32B9-0FB9-4EC9-8E37-E61D374D8281}" name="indidcador " dataDxfId="19">
      <calculatedColumnFormula>IF(Tabela356789[[#This Row],[valor ]]&gt;AVERAGE(Tabela356789[[valor ]]),0,1)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1B953F5-296C-4022-A9AF-C6B2C53FF428}" name="Tabela3567810" displayName="Tabela3567810" ref="AA9:AC22" totalsRowCount="1" headerRowDxfId="18" headerRowBorderDxfId="17" tableBorderDxfId="16">
  <autoFilter ref="AA9:AC21" xr:uid="{636085D6-9236-4F92-BF75-72EAED34C90A}"/>
  <tableColumns count="3">
    <tableColumn id="1" xr3:uid="{437A3951-641C-48C8-AB23-3F1FC2CCDEAA}" name="2020" totalsRowLabel="Total"/>
    <tableColumn id="2" xr3:uid="{EF43CE85-E00A-4235-9244-00C8F46B1B19}" name="valor " totalsRowFunction="sum" dataDxfId="15" totalsRowDxfId="14"/>
    <tableColumn id="3" xr3:uid="{297DC7CE-002B-4DF1-A92C-14CFE1386CC0}" name="indidcador " dataDxfId="13">
      <calculatedColumnFormula>IF(Tabela3567810[[#This Row],[valor ]]&gt;AVERAGE(Tabela3567810[[valor ]]),0,1)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90251E6-AB28-4A74-A077-3AEAAD89FBBB}" name="Tabela356781011" displayName="Tabela356781011" ref="AE9:AG22" totalsRowCount="1" headerRowDxfId="12" headerRowBorderDxfId="11" tableBorderDxfId="10">
  <autoFilter ref="AE9:AG21" xr:uid="{C2CA5AB0-0E3D-46A6-8008-C7A6A7108707}"/>
  <tableColumns count="3">
    <tableColumn id="1" xr3:uid="{73265F3A-BCD9-4908-9EFD-609A97A366A2}" name="2020" totalsRowLabel="Total"/>
    <tableColumn id="2" xr3:uid="{21E594B0-696B-45CE-9353-4CA84D34C13D}" name="valor " totalsRowFunction="sum" dataDxfId="9" totalsRowDxfId="8"/>
    <tableColumn id="3" xr3:uid="{9150F495-DEB1-4FFF-84CA-1A242D76CDFF}" name="indidcador " dataDxfId="7">
      <calculatedColumnFormula>IF(Tabela356781011[[#This Row],[valor ]]&gt;AVERAGE(Tabela356781011[[valor ]]),0,1)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05F6CCF-7EC4-42BE-A0D4-1E560BB910B7}" name="Table11" displayName="Table11" ref="W1:Y13" totalsRowShown="0" headerRowDxfId="6" dataDxfId="4" headerRowBorderDxfId="5" tableBorderDxfId="3">
  <autoFilter ref="W1:Y13" xr:uid="{39631C38-4400-460D-B162-66E8F7F7EB54}"/>
  <tableColumns count="3">
    <tableColumn id="1" xr3:uid="{BA10EC9B-0089-4E1C-8994-F760EBCE0DC1}" name="Comando " dataDxfId="2"/>
    <tableColumn id="2" xr3:uid="{2E99E7EB-3812-4A61-B117-1E1D41B1CF19}" name="como usar " dataDxfId="1"/>
    <tableColumn id="3" xr3:uid="{BCDFDB6B-B525-4A4E-AE8A-CB2F75BC1B3E}" name="OB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7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4AB73-1D90-4C4D-90A9-A064BEC55026}">
  <sheetPr codeName="Planilha2">
    <tabColor rgb="FFFFFF00"/>
  </sheetPr>
  <dimension ref="A1:I29"/>
  <sheetViews>
    <sheetView topLeftCell="D10" workbookViewId="0">
      <selection activeCell="D20" sqref="D20"/>
    </sheetView>
  </sheetViews>
  <sheetFormatPr defaultRowHeight="14.4"/>
  <cols>
    <col min="1" max="1" width="46.109375" customWidth="1"/>
    <col min="2" max="2" width="41" style="181" bestFit="1" customWidth="1"/>
    <col min="3" max="3" width="41.6640625" bestFit="1" customWidth="1"/>
    <col min="4" max="5" width="29.109375" customWidth="1"/>
    <col min="6" max="6" width="65.109375" bestFit="1" customWidth="1"/>
    <col min="7" max="7" width="32.33203125" bestFit="1" customWidth="1"/>
    <col min="9" max="9" width="13.33203125" customWidth="1"/>
  </cols>
  <sheetData>
    <row r="1" spans="1:7" ht="15" thickBot="1">
      <c r="A1" s="180" t="s">
        <v>1283</v>
      </c>
    </row>
    <row r="2" spans="1:7">
      <c r="A2" t="s">
        <v>1284</v>
      </c>
      <c r="B2" s="181" t="s">
        <v>1288</v>
      </c>
      <c r="C2" t="s">
        <v>1289</v>
      </c>
    </row>
    <row r="3" spans="1:7">
      <c r="A3" t="s">
        <v>1285</v>
      </c>
    </row>
    <row r="4" spans="1:7">
      <c r="A4" t="s">
        <v>1286</v>
      </c>
    </row>
    <row r="5" spans="1:7">
      <c r="A5" t="s">
        <v>1287</v>
      </c>
    </row>
    <row r="11" spans="1:7">
      <c r="G11" t="s">
        <v>1315</v>
      </c>
    </row>
    <row r="15" spans="1:7">
      <c r="B15" s="181" t="s">
        <v>1290</v>
      </c>
    </row>
    <row r="16" spans="1:7" ht="15" thickBot="1">
      <c r="B16" s="181" t="s">
        <v>1291</v>
      </c>
    </row>
    <row r="17" spans="2:9" ht="15" thickBot="1">
      <c r="B17" s="182">
        <v>107856</v>
      </c>
      <c r="C17" t="str">
        <f>LEFT(B17,3)</f>
        <v>107</v>
      </c>
      <c r="D17" t="s">
        <v>1301</v>
      </c>
      <c r="F17" t="s">
        <v>1317</v>
      </c>
    </row>
    <row r="18" spans="2:9" ht="15" thickBot="1">
      <c r="F18" s="207" t="s">
        <v>1316</v>
      </c>
      <c r="G18" s="208" t="str">
        <f>MID(F18,13,6)</f>
        <v>coleta</v>
      </c>
      <c r="H18" t="s">
        <v>1318</v>
      </c>
    </row>
    <row r="19" spans="2:9" ht="15" thickBot="1">
      <c r="B19" s="181" t="s">
        <v>1292</v>
      </c>
      <c r="C19" t="s">
        <v>1299</v>
      </c>
      <c r="G19" s="208" t="str">
        <f>MID(F18,FIND("coleta",F18),6)</f>
        <v>coleta</v>
      </c>
    </row>
    <row r="20" spans="2:9" ht="15" thickBot="1">
      <c r="B20" s="183" t="s">
        <v>1300</v>
      </c>
      <c r="C20" t="str">
        <f>LEFT(B20,FIND(" ",B20))</f>
        <v xml:space="preserve">Adriana </v>
      </c>
      <c r="D20" s="186">
        <f>FIND(" ",B20)</f>
        <v>8</v>
      </c>
      <c r="E20" s="206"/>
      <c r="G20" s="206"/>
    </row>
    <row r="21" spans="2:9" ht="15" thickBot="1">
      <c r="B21" s="184" t="s">
        <v>1293</v>
      </c>
      <c r="C21" t="str">
        <f t="shared" ref="C21:C26" si="0">LEFT(B21,FIND(" ",B21))</f>
        <v xml:space="preserve">CAIO </v>
      </c>
      <c r="D21" s="186">
        <f t="shared" ref="D21:D26" si="1">FIND(" ",B21)</f>
        <v>5</v>
      </c>
      <c r="E21" s="206"/>
      <c r="G21" s="179" t="s">
        <v>1322</v>
      </c>
    </row>
    <row r="22" spans="2:9" ht="15" thickBot="1">
      <c r="B22" s="184" t="s">
        <v>1294</v>
      </c>
      <c r="C22" t="str">
        <f t="shared" si="0"/>
        <v xml:space="preserve">CAIO </v>
      </c>
      <c r="D22" s="186">
        <f t="shared" si="1"/>
        <v>5</v>
      </c>
      <c r="E22" s="206"/>
      <c r="F22" s="179" t="s">
        <v>1319</v>
      </c>
      <c r="G22" t="str">
        <f>MID(F22,FIND("/",F22)-2,10)</f>
        <v>18/02/2021</v>
      </c>
      <c r="H22" t="s">
        <v>1318</v>
      </c>
      <c r="I22" s="186" t="str">
        <f>MID(F22,SEARCH("??/??/2021",F22),10)</f>
        <v>18/02/2021</v>
      </c>
    </row>
    <row r="23" spans="2:9" ht="15" thickBot="1">
      <c r="B23" s="184" t="s">
        <v>1295</v>
      </c>
      <c r="C23" t="str">
        <f t="shared" si="0"/>
        <v xml:space="preserve">ROSANGELA </v>
      </c>
      <c r="D23" s="186">
        <f t="shared" si="1"/>
        <v>10</v>
      </c>
      <c r="E23" s="206"/>
      <c r="F23" s="179" t="s">
        <v>1320</v>
      </c>
      <c r="G23" t="str">
        <f t="shared" ref="G23:G24" si="2">MID(F23,FIND("/",F23)-2,10)</f>
        <v>18/02/2021</v>
      </c>
      <c r="I23" s="187" t="str">
        <f t="shared" ref="I23:I24" si="3">MID(F23,SEARCH("??/??/2021",F23),10)</f>
        <v>18/02/2021</v>
      </c>
    </row>
    <row r="24" spans="2:9" ht="15" thickBot="1">
      <c r="B24" s="184" t="s">
        <v>1296</v>
      </c>
      <c r="C24" t="str">
        <f t="shared" si="0"/>
        <v xml:space="preserve">WINDSOR </v>
      </c>
      <c r="D24" s="186">
        <f t="shared" si="1"/>
        <v>8</v>
      </c>
      <c r="E24" s="206"/>
      <c r="F24" s="179" t="s">
        <v>1321</v>
      </c>
      <c r="G24" t="str">
        <f t="shared" si="2"/>
        <v>18/02/2021</v>
      </c>
      <c r="I24" s="188" t="str">
        <f t="shared" si="3"/>
        <v>18/02/2021</v>
      </c>
    </row>
    <row r="25" spans="2:9" ht="15" thickBot="1">
      <c r="B25" s="184" t="s">
        <v>1297</v>
      </c>
      <c r="C25" t="str">
        <f t="shared" si="0"/>
        <v xml:space="preserve">FERNANDO </v>
      </c>
      <c r="D25" s="186">
        <f t="shared" si="1"/>
        <v>9</v>
      </c>
      <c r="E25" s="206"/>
    </row>
    <row r="26" spans="2:9" ht="15" thickBot="1">
      <c r="B26" s="185" t="s">
        <v>1298</v>
      </c>
      <c r="C26" t="str">
        <f t="shared" si="0"/>
        <v xml:space="preserve">EGILDO </v>
      </c>
      <c r="D26" s="179">
        <f t="shared" si="1"/>
        <v>7</v>
      </c>
      <c r="E26" s="206"/>
      <c r="F26" t="s">
        <v>1323</v>
      </c>
      <c r="G26" s="179" t="s">
        <v>1324</v>
      </c>
    </row>
    <row r="27" spans="2:9" ht="15" thickBot="1">
      <c r="F27" s="179" t="s">
        <v>1325</v>
      </c>
      <c r="G27" s="206" t="str">
        <f>MID(F27,SEARCH("??.??.??",F27),10)</f>
        <v>10.01.02-7</v>
      </c>
      <c r="H27" t="s">
        <v>1328</v>
      </c>
      <c r="I27" s="186" t="str">
        <f>MID(F27,FIND(".",F27)-2,10)</f>
        <v>10.01.02-7</v>
      </c>
    </row>
    <row r="28" spans="2:9" ht="15" thickBot="1">
      <c r="F28" s="179" t="s">
        <v>1326</v>
      </c>
      <c r="G28" s="206" t="str">
        <f t="shared" ref="G28:G29" si="4">MID(F28,SEARCH("??.??.??",F28),10)</f>
        <v>10.03.04-X</v>
      </c>
      <c r="I28" s="187" t="str">
        <f t="shared" ref="I28:I29" si="5">MID(F28,FIND(".",F28)-2,10)</f>
        <v>10.03.04-X</v>
      </c>
    </row>
    <row r="29" spans="2:9" ht="15" thickBot="1">
      <c r="F29" s="179" t="s">
        <v>1327</v>
      </c>
      <c r="G29" s="206" t="str">
        <f t="shared" si="4"/>
        <v>10.07.08 e</v>
      </c>
      <c r="I29" s="188" t="str">
        <f t="shared" si="5"/>
        <v>10.07.08 e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536D2-0288-49E8-9887-F8CBBD0F606C}">
  <sheetPr codeName="Planilha3"/>
  <dimension ref="B1:M10"/>
  <sheetViews>
    <sheetView topLeftCell="G1" zoomScale="90" zoomScaleNormal="90" workbookViewId="0">
      <selection activeCell="I5" sqref="I5"/>
    </sheetView>
  </sheetViews>
  <sheetFormatPr defaultColWidth="9.6640625" defaultRowHeight="18" customHeight="1"/>
  <cols>
    <col min="1" max="1" width="3.109375" style="111" customWidth="1"/>
    <col min="2" max="3" width="26.5546875" style="111" customWidth="1"/>
    <col min="4" max="6" width="47.33203125" style="111" customWidth="1"/>
    <col min="7" max="7" width="58.33203125" style="111" customWidth="1"/>
    <col min="8" max="8" width="47.33203125" style="111" customWidth="1"/>
    <col min="9" max="9" width="32.88671875" style="111" bestFit="1" customWidth="1"/>
    <col min="10" max="10" width="37" style="111" bestFit="1" customWidth="1"/>
    <col min="11" max="11" width="9.6640625" style="111"/>
    <col min="12" max="12" width="15.6640625" style="111" bestFit="1" customWidth="1"/>
    <col min="13" max="13" width="16.88671875" style="111" bestFit="1" customWidth="1"/>
    <col min="14" max="16384" width="9.6640625" style="111"/>
  </cols>
  <sheetData>
    <row r="1" spans="2:13" ht="18" customHeight="1">
      <c r="B1" s="189" t="s">
        <v>1119</v>
      </c>
      <c r="C1" s="190"/>
      <c r="D1" s="190"/>
      <c r="E1" s="190"/>
      <c r="F1" s="190"/>
      <c r="G1" s="190"/>
      <c r="H1" s="190"/>
      <c r="I1" s="190"/>
      <c r="J1" s="191"/>
    </row>
    <row r="2" spans="2:13" ht="18" customHeight="1">
      <c r="B2" s="192" t="s">
        <v>1120</v>
      </c>
      <c r="C2" s="193"/>
      <c r="D2" s="193"/>
      <c r="E2" s="193"/>
      <c r="F2" s="193"/>
      <c r="G2" s="193"/>
      <c r="H2" s="193"/>
      <c r="I2" s="193"/>
      <c r="J2" s="194"/>
    </row>
    <row r="3" spans="2:13" ht="18" customHeight="1">
      <c r="B3" s="192"/>
      <c r="C3" s="193"/>
      <c r="D3" s="193"/>
      <c r="E3" s="193"/>
      <c r="F3" s="193"/>
      <c r="G3" s="193"/>
      <c r="H3" s="193"/>
      <c r="I3" s="193"/>
      <c r="J3" s="194"/>
    </row>
    <row r="4" spans="2:13" ht="18" customHeight="1" thickBot="1">
      <c r="B4" s="195" t="s">
        <v>1121</v>
      </c>
      <c r="C4" s="132" t="s">
        <v>1122</v>
      </c>
      <c r="D4" s="132" t="s">
        <v>1123</v>
      </c>
      <c r="E4" s="201" t="s">
        <v>1313</v>
      </c>
      <c r="F4" s="201" t="s">
        <v>1314</v>
      </c>
      <c r="G4" s="201" t="s">
        <v>1303</v>
      </c>
      <c r="H4" s="201"/>
      <c r="I4" s="193"/>
      <c r="J4" s="194"/>
      <c r="L4" s="195" t="s">
        <v>1121</v>
      </c>
      <c r="M4" s="132" t="s">
        <v>1303</v>
      </c>
    </row>
    <row r="5" spans="2:13" ht="18" customHeight="1" thickBot="1">
      <c r="B5" s="192" t="s">
        <v>1124</v>
      </c>
      <c r="C5" s="193" t="s">
        <v>1125</v>
      </c>
      <c r="D5" s="196" t="str">
        <f>LEFT(B5,FIND(" ",B5))&amp;LEFT(C5,3)</f>
        <v>Antonio LOG</v>
      </c>
      <c r="E5" s="196" t="str">
        <f>TRIM(LEFT(B5,FIND(" ",B5)))&amp;"-"&amp;LEFT(C5,3)</f>
        <v>Antonio-LOG</v>
      </c>
      <c r="F5" s="196" t="str">
        <f>PROPER(TRIM(LEFT(B5,FIND(" ",B5)))&amp;"-"&amp;LEFT(C5,3))</f>
        <v>Antonio-Log</v>
      </c>
      <c r="G5" s="202" t="str">
        <f>VLOOKUP(TRIM(LEFT(B5,FIND(" ",B5))),$L$5:$M$9,2,0)</f>
        <v>SP</v>
      </c>
      <c r="H5" s="196" t="s">
        <v>1311</v>
      </c>
      <c r="I5" s="196" t="str">
        <f ca="1">_xlfn.FORMULATEXT('AULA 1'!C20)</f>
        <v>=ESQUERDA(B20;PROCURAR(" ";B20))</v>
      </c>
      <c r="J5" s="194" t="s">
        <v>1302</v>
      </c>
      <c r="L5" s="192" t="s">
        <v>1306</v>
      </c>
      <c r="M5" s="193" t="s">
        <v>1263</v>
      </c>
    </row>
    <row r="6" spans="2:13" ht="18" customHeight="1">
      <c r="B6" s="192" t="s">
        <v>1126</v>
      </c>
      <c r="C6" s="193" t="s">
        <v>1127</v>
      </c>
      <c r="D6" s="196" t="str">
        <f t="shared" ref="D6:D9" si="0">LEFT(B6,FIND(" ",B6))&amp;LEFT(C6,3)</f>
        <v>Carla REC</v>
      </c>
      <c r="E6" s="196" t="str">
        <f>(LEFT(B6,FIND(" ",B6)-1))&amp;"-"&amp;LEFT(C6,3)</f>
        <v>Carla-REC</v>
      </c>
      <c r="F6" s="196" t="str">
        <f>PROPER(LEFT(B6,FIND(" ",B6)-1)&amp;"-"&amp;LEFT(C6,3))</f>
        <v>Carla-Rec</v>
      </c>
      <c r="G6" s="203" t="str">
        <f t="shared" ref="G6:G9" si="1">VLOOKUP(LEFT(B6,FIND(" ",B6)-1),$L$5:$M$9,2,0)</f>
        <v>MG</v>
      </c>
      <c r="H6" s="196" t="s">
        <v>1312</v>
      </c>
      <c r="I6" s="197"/>
      <c r="J6" s="194"/>
      <c r="L6" s="192" t="s">
        <v>1307</v>
      </c>
      <c r="M6" s="193" t="s">
        <v>1268</v>
      </c>
    </row>
    <row r="7" spans="2:13" ht="18" customHeight="1">
      <c r="B7" s="192" t="s">
        <v>1128</v>
      </c>
      <c r="C7" s="193" t="s">
        <v>1129</v>
      </c>
      <c r="D7" s="196" t="str">
        <f t="shared" si="0"/>
        <v>Humberto ADM</v>
      </c>
      <c r="E7" s="196" t="str">
        <f t="shared" ref="E7:E9" si="2">(LEFT(B7,FIND(" ",B7)-1))&amp;"-"&amp;LEFT(C7,3)</f>
        <v>Humberto-ADM</v>
      </c>
      <c r="F7" s="196" t="str">
        <f t="shared" ref="F7:F9" si="3">PROPER(LEFT(B7,FIND(" ",B7)-1)&amp;"-"&amp;LEFT(C7,3))</f>
        <v>Humberto-Adm</v>
      </c>
      <c r="G7" s="204" t="str">
        <f t="shared" si="1"/>
        <v>DF</v>
      </c>
      <c r="H7" s="196" t="s">
        <v>1312</v>
      </c>
      <c r="I7" s="197"/>
      <c r="J7" s="194"/>
      <c r="L7" s="192" t="s">
        <v>1308</v>
      </c>
      <c r="M7" s="193" t="s">
        <v>1304</v>
      </c>
    </row>
    <row r="8" spans="2:13" ht="18" customHeight="1">
      <c r="B8" s="192" t="s">
        <v>1130</v>
      </c>
      <c r="C8" s="193" t="s">
        <v>1131</v>
      </c>
      <c r="D8" s="196" t="str">
        <f t="shared" si="0"/>
        <v>Cleide VEN</v>
      </c>
      <c r="E8" s="196" t="str">
        <f t="shared" si="2"/>
        <v>Cleide-VEN</v>
      </c>
      <c r="F8" s="196" t="str">
        <f t="shared" si="3"/>
        <v>Cleide-Ven</v>
      </c>
      <c r="G8" s="204" t="str">
        <f t="shared" si="1"/>
        <v>BA</v>
      </c>
      <c r="H8" s="196" t="s">
        <v>1312</v>
      </c>
      <c r="I8" s="197"/>
      <c r="J8" s="194"/>
      <c r="L8" s="192" t="s">
        <v>1309</v>
      </c>
      <c r="M8" s="193" t="s">
        <v>1261</v>
      </c>
    </row>
    <row r="9" spans="2:13" ht="18" customHeight="1" thickBot="1">
      <c r="B9" s="192" t="s">
        <v>1132</v>
      </c>
      <c r="C9" s="193" t="s">
        <v>1133</v>
      </c>
      <c r="D9" s="196" t="str">
        <f t="shared" si="0"/>
        <v>Marcos COM</v>
      </c>
      <c r="E9" s="196" t="str">
        <f t="shared" si="2"/>
        <v>Marcos-COM</v>
      </c>
      <c r="F9" s="196" t="str">
        <f t="shared" si="3"/>
        <v>Marcos-Com</v>
      </c>
      <c r="G9" s="205" t="str">
        <f t="shared" si="1"/>
        <v>TO</v>
      </c>
      <c r="H9" s="196" t="s">
        <v>1312</v>
      </c>
      <c r="I9" s="197"/>
      <c r="J9" s="194"/>
      <c r="L9" s="192" t="s">
        <v>1310</v>
      </c>
      <c r="M9" s="193" t="s">
        <v>1305</v>
      </c>
    </row>
    <row r="10" spans="2:13" ht="18" customHeight="1" thickBot="1">
      <c r="B10" s="198"/>
      <c r="C10" s="199"/>
      <c r="D10" s="199"/>
      <c r="E10" s="199"/>
      <c r="F10" s="199"/>
      <c r="G10" s="199"/>
      <c r="H10" s="199"/>
      <c r="I10" s="199"/>
      <c r="J10" s="200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79911-D300-4355-93DB-3278E8F086C5}">
  <sheetPr codeName="Planilha4">
    <tabColor rgb="FFFF0000"/>
  </sheetPr>
  <dimension ref="B1:G9"/>
  <sheetViews>
    <sheetView topLeftCell="B1" zoomScaleNormal="100" workbookViewId="0">
      <selection activeCell="C6" sqref="C6"/>
    </sheetView>
  </sheetViews>
  <sheetFormatPr defaultColWidth="9.6640625" defaultRowHeight="18" customHeight="1"/>
  <cols>
    <col min="1" max="1" width="4.33203125" style="111" customWidth="1"/>
    <col min="2" max="2" width="30.6640625" style="111" customWidth="1"/>
    <col min="3" max="3" width="26" style="111" customWidth="1"/>
    <col min="4" max="4" width="48.5546875" style="126" bestFit="1" customWidth="1"/>
    <col min="5" max="5" width="20.44140625" style="111" bestFit="1" customWidth="1"/>
    <col min="6" max="6" width="9.6640625" style="111"/>
    <col min="7" max="7" width="20.44140625" style="111" bestFit="1" customWidth="1"/>
    <col min="8" max="16384" width="9.6640625" style="111"/>
  </cols>
  <sheetData>
    <row r="1" spans="2:7" ht="18" customHeight="1" thickBot="1"/>
    <row r="2" spans="2:7" ht="18" customHeight="1" thickBot="1">
      <c r="B2" s="111" t="s">
        <v>1140</v>
      </c>
      <c r="C2" s="111" t="s">
        <v>1329</v>
      </c>
      <c r="D2" s="126" t="s">
        <v>1330</v>
      </c>
      <c r="E2" s="209">
        <f>LEN(B5)</f>
        <v>27</v>
      </c>
    </row>
    <row r="4" spans="2:7" ht="18" customHeight="1" thickBot="1">
      <c r="B4" s="135" t="s">
        <v>1141</v>
      </c>
      <c r="C4" s="136" t="s">
        <v>1142</v>
      </c>
      <c r="E4" s="136" t="s">
        <v>1142</v>
      </c>
      <c r="G4" s="136" t="s">
        <v>1142</v>
      </c>
    </row>
    <row r="5" spans="2:7" ht="18" customHeight="1" thickBot="1">
      <c r="B5" s="111" t="s">
        <v>1143</v>
      </c>
      <c r="C5" s="137" t="str">
        <f>MID(B5,FIND("-",B5)+1,100)</f>
        <v>ESCORREDOR DE PRATOS</v>
      </c>
      <c r="D5" s="126" t="s">
        <v>1328</v>
      </c>
      <c r="E5" s="210" t="str">
        <f>MID(B5,FIND("-",B5)+1,LEN(C5))</f>
        <v>ESCORREDOR DE PRATOS</v>
      </c>
      <c r="F5" s="111" t="s">
        <v>1318</v>
      </c>
      <c r="G5" s="137" t="str">
        <f>RIGHT(B5,LEN(B5)-FIND("-",B5))</f>
        <v>ESCORREDOR DE PRATOS</v>
      </c>
    </row>
    <row r="6" spans="2:7" ht="18" customHeight="1" thickBot="1">
      <c r="B6" s="111" t="s">
        <v>1144</v>
      </c>
      <c r="C6" s="137" t="str">
        <f t="shared" ref="C6:C9" si="0">MID(B6,FIND("-",B6)+1,100)</f>
        <v>PORTA COPOS</v>
      </c>
      <c r="E6" s="210" t="str">
        <f t="shared" ref="E6:E9" si="1">MID(B6,FIND("-",B6)+1,LEN(C6))</f>
        <v>PORTA COPOS</v>
      </c>
      <c r="G6" s="137" t="str">
        <f t="shared" ref="G6:G9" si="2">RIGHT(B6,LEN(B6)-FIND("-",B6))</f>
        <v>PORTA COPOS</v>
      </c>
    </row>
    <row r="7" spans="2:7" ht="18" customHeight="1" thickBot="1">
      <c r="B7" s="111" t="s">
        <v>1145</v>
      </c>
      <c r="C7" s="137" t="str">
        <f t="shared" si="0"/>
        <v>FRUTEIRA 3 ANDARES</v>
      </c>
      <c r="E7" s="210" t="str">
        <f t="shared" si="1"/>
        <v>FRUTEIRA 3 ANDARES</v>
      </c>
      <c r="G7" s="137" t="str">
        <f t="shared" si="2"/>
        <v>FRUTEIRA 3 ANDARES</v>
      </c>
    </row>
    <row r="8" spans="2:7" ht="18" customHeight="1" thickBot="1">
      <c r="B8" s="111" t="s">
        <v>1146</v>
      </c>
      <c r="C8" s="137" t="str">
        <f t="shared" si="0"/>
        <v>PORTA SHAMPOO</v>
      </c>
      <c r="E8" s="210" t="str">
        <f t="shared" si="1"/>
        <v>PORTA SHAMPOO</v>
      </c>
      <c r="G8" s="137" t="str">
        <f t="shared" si="2"/>
        <v>PORTA SHAMPOO</v>
      </c>
    </row>
    <row r="9" spans="2:7" ht="18" customHeight="1" thickBot="1">
      <c r="B9" s="111" t="s">
        <v>1147</v>
      </c>
      <c r="C9" s="137" t="str">
        <f t="shared" si="0"/>
        <v>CANTONEIRA 2 ANDARES</v>
      </c>
      <c r="E9" s="209" t="str">
        <f t="shared" si="1"/>
        <v>CANTONEIRA 2 ANDARES</v>
      </c>
      <c r="G9" s="137" t="str">
        <f t="shared" si="2"/>
        <v>CANTONEIRA 2 ANDARES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1F5A9-E94F-4F52-A4C6-C50174C43F01}">
  <sheetPr codeName="Planilha5">
    <tabColor rgb="FFFF00FF"/>
  </sheetPr>
  <dimension ref="B1:G11"/>
  <sheetViews>
    <sheetView zoomScaleNormal="100" workbookViewId="0">
      <selection activeCell="G4" sqref="G4"/>
    </sheetView>
  </sheetViews>
  <sheetFormatPr defaultColWidth="9.6640625" defaultRowHeight="18" customHeight="1"/>
  <cols>
    <col min="1" max="1" width="1.44140625" style="111" customWidth="1"/>
    <col min="2" max="2" width="56.44140625" style="111" bestFit="1" customWidth="1"/>
    <col min="3" max="5" width="15.6640625" style="111" customWidth="1"/>
    <col min="6" max="16384" width="9.6640625" style="111"/>
  </cols>
  <sheetData>
    <row r="1" spans="2:7" ht="18" customHeight="1">
      <c r="B1" s="110" t="s">
        <v>1169</v>
      </c>
    </row>
    <row r="2" spans="2:7" ht="18" customHeight="1">
      <c r="B2" s="110" t="s">
        <v>1160</v>
      </c>
    </row>
    <row r="3" spans="2:7" ht="18" customHeight="1">
      <c r="G3" s="111" t="s">
        <v>1331</v>
      </c>
    </row>
    <row r="4" spans="2:7" ht="18" customHeight="1">
      <c r="B4" s="114" t="s">
        <v>1161</v>
      </c>
      <c r="C4" s="115" t="s">
        <v>1162</v>
      </c>
      <c r="D4" s="115" t="s">
        <v>1096</v>
      </c>
    </row>
    <row r="5" spans="2:7" ht="18" customHeight="1">
      <c r="B5" s="145" t="s">
        <v>1163</v>
      </c>
      <c r="C5" s="144"/>
      <c r="D5" s="119"/>
    </row>
    <row r="6" spans="2:7" ht="18" customHeight="1">
      <c r="B6" s="145" t="s">
        <v>1164</v>
      </c>
      <c r="C6" s="144"/>
      <c r="D6" s="119"/>
    </row>
    <row r="7" spans="2:7" ht="18" customHeight="1">
      <c r="B7" s="145" t="s">
        <v>1165</v>
      </c>
      <c r="C7" s="144"/>
      <c r="D7" s="119"/>
    </row>
    <row r="8" spans="2:7" ht="18" customHeight="1">
      <c r="B8" s="145" t="s">
        <v>1166</v>
      </c>
      <c r="C8" s="144"/>
      <c r="D8" s="119"/>
    </row>
    <row r="9" spans="2:7" ht="18" customHeight="1">
      <c r="B9" s="145" t="s">
        <v>1167</v>
      </c>
      <c r="C9" s="144"/>
      <c r="D9" s="119"/>
    </row>
    <row r="10" spans="2:7" ht="18" customHeight="1">
      <c r="B10" s="145" t="s">
        <v>1168</v>
      </c>
      <c r="C10" s="144"/>
      <c r="D10" s="119"/>
    </row>
    <row r="11" spans="2:7" ht="18" customHeight="1">
      <c r="B11" s="131"/>
      <c r="C11" s="131"/>
      <c r="D11" s="131"/>
    </row>
  </sheetData>
  <pageMargins left="0.511811024" right="0.511811024" top="0.78740157499999996" bottom="0.78740157499999996" header="0.31496062000000002" footer="0.31496062000000002"/>
  <pageSetup paperSize="9" orientation="portrait" horizontalDpi="90" verticalDpi="9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2C4DC-254A-4A63-847B-D83DEF7BC32C}">
  <sheetPr codeName="Planilha6"/>
  <dimension ref="B2:K22"/>
  <sheetViews>
    <sheetView zoomScaleNormal="100" workbookViewId="0">
      <selection activeCell="D8" sqref="D8"/>
    </sheetView>
  </sheetViews>
  <sheetFormatPr defaultColWidth="9.6640625" defaultRowHeight="18" customHeight="1"/>
  <cols>
    <col min="1" max="1" width="3.5546875" style="111" customWidth="1"/>
    <col min="2" max="2" width="10.44140625" style="111" bestFit="1" customWidth="1"/>
    <col min="3" max="3" width="9.6640625" style="111"/>
    <col min="4" max="4" width="13.6640625" style="111" customWidth="1"/>
    <col min="5" max="5" width="4.44140625" style="111" customWidth="1"/>
    <col min="6" max="6" width="16.6640625" style="111" customWidth="1"/>
    <col min="7" max="7" width="11.88671875" style="111" customWidth="1"/>
    <col min="8" max="8" width="9.6640625" style="111"/>
    <col min="9" max="9" width="35.33203125" style="111" bestFit="1" customWidth="1"/>
    <col min="10" max="10" width="38" style="111" bestFit="1" customWidth="1"/>
    <col min="11" max="16384" width="9.6640625" style="111"/>
  </cols>
  <sheetData>
    <row r="2" spans="2:11" ht="18" customHeight="1">
      <c r="B2" s="110" t="s">
        <v>1095</v>
      </c>
    </row>
    <row r="3" spans="2:11" ht="18" customHeight="1" thickBot="1">
      <c r="G3" s="120"/>
      <c r="I3" s="116"/>
      <c r="J3" s="116"/>
      <c r="K3" s="116"/>
    </row>
    <row r="4" spans="2:11" ht="27.6">
      <c r="B4" s="115" t="s">
        <v>1096</v>
      </c>
      <c r="C4" s="115" t="s">
        <v>1097</v>
      </c>
      <c r="D4" s="121" t="s">
        <v>1098</v>
      </c>
      <c r="F4" s="122" t="s">
        <v>1099</v>
      </c>
      <c r="G4" s="214">
        <f>SUM(D5:D22)</f>
        <v>5.6854166666666686</v>
      </c>
      <c r="I4" s="213" t="s">
        <v>1332</v>
      </c>
      <c r="J4" s="116"/>
      <c r="K4" s="116"/>
    </row>
    <row r="5" spans="2:11" ht="18" customHeight="1">
      <c r="B5" s="117">
        <v>43192</v>
      </c>
      <c r="C5" s="116" t="str">
        <f>UPPER(TEXT(B5,"DDD"))</f>
        <v>SEG</v>
      </c>
      <c r="D5" s="123">
        <v>0.375</v>
      </c>
      <c r="F5" s="124"/>
      <c r="G5" s="125"/>
      <c r="I5" s="211" t="s">
        <v>1333</v>
      </c>
    </row>
    <row r="6" spans="2:11" ht="18" customHeight="1" thickBot="1">
      <c r="B6" s="117">
        <v>43193</v>
      </c>
      <c r="C6" s="116" t="str">
        <f t="shared" ref="C6:C22" si="0">UPPER(TEXT(B6,"DDD"))</f>
        <v>TER</v>
      </c>
      <c r="D6" s="123">
        <v>0.39305555555555555</v>
      </c>
      <c r="I6" s="212" t="s">
        <v>1334</v>
      </c>
      <c r="J6" s="111" t="s">
        <v>1335</v>
      </c>
      <c r="K6" s="124"/>
    </row>
    <row r="7" spans="2:11" ht="18" customHeight="1">
      <c r="B7" s="117">
        <v>43194</v>
      </c>
      <c r="C7" s="116" t="str">
        <f t="shared" si="0"/>
        <v>QUA</v>
      </c>
      <c r="D7" s="123">
        <v>0.33055555555555555</v>
      </c>
      <c r="K7" s="124"/>
    </row>
    <row r="8" spans="2:11" ht="18" customHeight="1">
      <c r="B8" s="117">
        <v>43195</v>
      </c>
      <c r="C8" s="116" t="str">
        <f t="shared" si="0"/>
        <v>QUI</v>
      </c>
      <c r="D8" s="123">
        <v>0.39305555555555555</v>
      </c>
      <c r="K8" s="124"/>
    </row>
    <row r="9" spans="2:11" ht="18" customHeight="1">
      <c r="B9" s="117">
        <v>43196</v>
      </c>
      <c r="C9" s="116" t="str">
        <f t="shared" si="0"/>
        <v>SEX</v>
      </c>
      <c r="D9" s="123">
        <v>0.22013888888888888</v>
      </c>
      <c r="K9" s="124"/>
    </row>
    <row r="10" spans="2:11" ht="18" customHeight="1">
      <c r="B10" s="117">
        <v>43199</v>
      </c>
      <c r="C10" s="116" t="str">
        <f t="shared" si="0"/>
        <v>SEG</v>
      </c>
      <c r="D10" s="123">
        <v>0.34166666666666662</v>
      </c>
      <c r="K10" s="124"/>
    </row>
    <row r="11" spans="2:11" ht="18" customHeight="1">
      <c r="B11" s="117">
        <v>43200</v>
      </c>
      <c r="C11" s="116" t="str">
        <f t="shared" si="0"/>
        <v>TER</v>
      </c>
      <c r="D11" s="123">
        <v>0.33055555555555555</v>
      </c>
      <c r="K11" s="124"/>
    </row>
    <row r="12" spans="2:11" ht="18" customHeight="1">
      <c r="B12" s="117">
        <v>43201</v>
      </c>
      <c r="C12" s="116" t="str">
        <f t="shared" si="0"/>
        <v>QUA</v>
      </c>
      <c r="D12" s="123">
        <v>0.22013888888888888</v>
      </c>
    </row>
    <row r="13" spans="2:11" ht="18" customHeight="1">
      <c r="B13" s="117">
        <v>43202</v>
      </c>
      <c r="C13" s="116" t="str">
        <f t="shared" si="0"/>
        <v>QUI</v>
      </c>
      <c r="D13" s="123">
        <v>0.34166666666666662</v>
      </c>
    </row>
    <row r="14" spans="2:11" ht="18" customHeight="1">
      <c r="B14" s="117">
        <v>43203</v>
      </c>
      <c r="C14" s="116" t="str">
        <f t="shared" si="0"/>
        <v>SEX</v>
      </c>
      <c r="D14" s="123">
        <v>0.34166666666666662</v>
      </c>
    </row>
    <row r="15" spans="2:11" ht="18" customHeight="1">
      <c r="B15" s="117">
        <v>43206</v>
      </c>
      <c r="C15" s="116" t="str">
        <f t="shared" si="0"/>
        <v>SEG</v>
      </c>
      <c r="D15" s="123">
        <v>0.22013888888888888</v>
      </c>
    </row>
    <row r="16" spans="2:11" ht="18" customHeight="1">
      <c r="B16" s="117">
        <v>43207</v>
      </c>
      <c r="C16" s="116" t="str">
        <f t="shared" si="0"/>
        <v>TER</v>
      </c>
      <c r="D16" s="123">
        <v>0.22013888888888888</v>
      </c>
    </row>
    <row r="17" spans="2:4" ht="18" customHeight="1">
      <c r="B17" s="117">
        <v>43208</v>
      </c>
      <c r="C17" s="116" t="str">
        <f t="shared" si="0"/>
        <v>QUA</v>
      </c>
      <c r="D17" s="123">
        <v>0.33055555555555555</v>
      </c>
    </row>
    <row r="18" spans="2:4" ht="18" customHeight="1">
      <c r="B18" s="117">
        <v>43209</v>
      </c>
      <c r="C18" s="116" t="str">
        <f t="shared" si="0"/>
        <v>QUI</v>
      </c>
      <c r="D18" s="123">
        <v>0.34166666666666662</v>
      </c>
    </row>
    <row r="19" spans="2:4" ht="18" customHeight="1">
      <c r="B19" s="117">
        <v>43210</v>
      </c>
      <c r="C19" s="116" t="str">
        <f t="shared" si="0"/>
        <v>SEX</v>
      </c>
      <c r="D19" s="123">
        <v>0.33055555555555555</v>
      </c>
    </row>
    <row r="20" spans="2:4" ht="18" customHeight="1">
      <c r="B20" s="117">
        <v>43213</v>
      </c>
      <c r="C20" s="116" t="str">
        <f t="shared" si="0"/>
        <v>SEG</v>
      </c>
      <c r="D20" s="123">
        <v>0.22013888888888888</v>
      </c>
    </row>
    <row r="21" spans="2:4" ht="18" customHeight="1">
      <c r="B21" s="117">
        <v>43214</v>
      </c>
      <c r="C21" s="116" t="str">
        <f t="shared" si="0"/>
        <v>TER</v>
      </c>
      <c r="D21" s="123">
        <v>0.34166666666666662</v>
      </c>
    </row>
    <row r="22" spans="2:4" ht="18" customHeight="1">
      <c r="B22" s="117">
        <v>43215</v>
      </c>
      <c r="C22" s="116" t="str">
        <f t="shared" si="0"/>
        <v>QUA</v>
      </c>
      <c r="D22" s="123">
        <v>0.39305555555555555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344A9-B1FB-4C47-8920-DF7613A12EF8}">
  <sheetPr codeName="Planilha7"/>
  <dimension ref="B2:K23"/>
  <sheetViews>
    <sheetView topLeftCell="A3" zoomScaleNormal="100" workbookViewId="0">
      <selection activeCell="I13" sqref="I13"/>
    </sheetView>
  </sheetViews>
  <sheetFormatPr defaultColWidth="9.6640625" defaultRowHeight="18" customHeight="1"/>
  <cols>
    <col min="1" max="1" width="3.5546875" style="111" customWidth="1"/>
    <col min="2" max="2" width="10.44140625" style="111" bestFit="1" customWidth="1"/>
    <col min="3" max="3" width="9.6640625" style="111"/>
    <col min="4" max="4" width="13.6640625" style="111" customWidth="1"/>
    <col min="5" max="5" width="4.44140625" style="111" customWidth="1"/>
    <col min="6" max="6" width="16.6640625" style="111" customWidth="1"/>
    <col min="7" max="7" width="11.88671875" style="111" customWidth="1"/>
    <col min="8" max="8" width="9.6640625" style="111"/>
    <col min="9" max="9" width="43" style="111" bestFit="1" customWidth="1"/>
    <col min="10" max="16384" width="9.6640625" style="111"/>
  </cols>
  <sheetData>
    <row r="2" spans="2:11" ht="18" customHeight="1">
      <c r="B2" s="110" t="s">
        <v>1100</v>
      </c>
    </row>
    <row r="3" spans="2:11" ht="18" customHeight="1">
      <c r="B3" s="110"/>
    </row>
    <row r="4" spans="2:11" ht="18" customHeight="1">
      <c r="B4" s="110" t="s">
        <v>1101</v>
      </c>
    </row>
    <row r="5" spans="2:11" ht="27.6">
      <c r="B5" s="115" t="s">
        <v>1096</v>
      </c>
      <c r="C5" s="115" t="s">
        <v>1097</v>
      </c>
      <c r="D5" s="121" t="s">
        <v>1098</v>
      </c>
      <c r="F5" s="122" t="s">
        <v>1099</v>
      </c>
      <c r="G5" s="215">
        <f>SUM(D6:D23)</f>
        <v>5.6854166666666686</v>
      </c>
      <c r="I5" s="111" t="s">
        <v>1336</v>
      </c>
    </row>
    <row r="6" spans="2:11" ht="18" customHeight="1">
      <c r="B6" s="117">
        <v>43192</v>
      </c>
      <c r="C6" s="116" t="str">
        <f>UPPER(TEXT(B6,"DDD"))</f>
        <v>SEG</v>
      </c>
      <c r="D6" s="123">
        <v>0.375</v>
      </c>
      <c r="F6" s="122" t="s">
        <v>1102</v>
      </c>
      <c r="G6" s="127">
        <f>25*G5*24</f>
        <v>3411.2500000000009</v>
      </c>
      <c r="I6" s="111" t="s">
        <v>1337</v>
      </c>
    </row>
    <row r="7" spans="2:11" ht="18" customHeight="1">
      <c r="B7" s="117">
        <v>43193</v>
      </c>
      <c r="C7" s="116" t="str">
        <f t="shared" ref="C7:C23" si="0">UPPER(TEXT(B7,"DDD"))</f>
        <v>TER</v>
      </c>
      <c r="D7" s="123">
        <v>0.39305555555555555</v>
      </c>
      <c r="K7" s="124"/>
    </row>
    <row r="8" spans="2:11" ht="18" customHeight="1">
      <c r="B8" s="117">
        <v>43194</v>
      </c>
      <c r="C8" s="116" t="str">
        <f t="shared" si="0"/>
        <v>QUA</v>
      </c>
      <c r="D8" s="123">
        <v>0.33055555555555555</v>
      </c>
      <c r="K8" s="124"/>
    </row>
    <row r="9" spans="2:11" ht="18" customHeight="1">
      <c r="B9" s="117">
        <v>43195</v>
      </c>
      <c r="C9" s="116" t="str">
        <f t="shared" si="0"/>
        <v>QUI</v>
      </c>
      <c r="D9" s="123">
        <v>0.39305555555555555</v>
      </c>
      <c r="K9" s="124"/>
    </row>
    <row r="10" spans="2:11" ht="18" customHeight="1">
      <c r="B10" s="117">
        <v>43196</v>
      </c>
      <c r="C10" s="116" t="str">
        <f t="shared" si="0"/>
        <v>SEX</v>
      </c>
      <c r="D10" s="123">
        <v>0.22013888888888888</v>
      </c>
      <c r="K10" s="124"/>
    </row>
    <row r="11" spans="2:11" ht="18" customHeight="1">
      <c r="B11" s="117">
        <v>43199</v>
      </c>
      <c r="C11" s="116" t="str">
        <f t="shared" si="0"/>
        <v>SEG</v>
      </c>
      <c r="D11" s="123">
        <v>0.34166666666666662</v>
      </c>
      <c r="K11" s="124"/>
    </row>
    <row r="12" spans="2:11" ht="18" customHeight="1">
      <c r="B12" s="117">
        <v>43200</v>
      </c>
      <c r="C12" s="116" t="str">
        <f t="shared" si="0"/>
        <v>TER</v>
      </c>
      <c r="D12" s="123">
        <v>0.33055555555555555</v>
      </c>
      <c r="K12" s="124"/>
    </row>
    <row r="13" spans="2:11" ht="18" customHeight="1">
      <c r="B13" s="117">
        <v>43201</v>
      </c>
      <c r="C13" s="116" t="str">
        <f t="shared" si="0"/>
        <v>QUA</v>
      </c>
      <c r="D13" s="123">
        <v>0.22013888888888888</v>
      </c>
    </row>
    <row r="14" spans="2:11" ht="18" customHeight="1">
      <c r="B14" s="117">
        <v>43202</v>
      </c>
      <c r="C14" s="116" t="str">
        <f t="shared" si="0"/>
        <v>QUI</v>
      </c>
      <c r="D14" s="123">
        <v>0.34166666666666662</v>
      </c>
    </row>
    <row r="15" spans="2:11" ht="18" customHeight="1">
      <c r="B15" s="117">
        <v>43203</v>
      </c>
      <c r="C15" s="116" t="str">
        <f t="shared" si="0"/>
        <v>SEX</v>
      </c>
      <c r="D15" s="123">
        <v>0.34166666666666662</v>
      </c>
    </row>
    <row r="16" spans="2:11" ht="18" customHeight="1">
      <c r="B16" s="117">
        <v>43206</v>
      </c>
      <c r="C16" s="116" t="str">
        <f t="shared" si="0"/>
        <v>SEG</v>
      </c>
      <c r="D16" s="123">
        <v>0.22013888888888888</v>
      </c>
    </row>
    <row r="17" spans="2:4" ht="18" customHeight="1">
      <c r="B17" s="117">
        <v>43207</v>
      </c>
      <c r="C17" s="116" t="str">
        <f t="shared" si="0"/>
        <v>TER</v>
      </c>
      <c r="D17" s="123">
        <v>0.22013888888888888</v>
      </c>
    </row>
    <row r="18" spans="2:4" ht="18" customHeight="1">
      <c r="B18" s="117">
        <v>43208</v>
      </c>
      <c r="C18" s="116" t="str">
        <f t="shared" si="0"/>
        <v>QUA</v>
      </c>
      <c r="D18" s="123">
        <v>0.33055555555555555</v>
      </c>
    </row>
    <row r="19" spans="2:4" ht="18" customHeight="1">
      <c r="B19" s="117">
        <v>43209</v>
      </c>
      <c r="C19" s="116" t="str">
        <f t="shared" si="0"/>
        <v>QUI</v>
      </c>
      <c r="D19" s="123">
        <v>0.34166666666666662</v>
      </c>
    </row>
    <row r="20" spans="2:4" ht="18" customHeight="1">
      <c r="B20" s="117">
        <v>43210</v>
      </c>
      <c r="C20" s="116" t="str">
        <f t="shared" si="0"/>
        <v>SEX</v>
      </c>
      <c r="D20" s="123">
        <v>0.33055555555555555</v>
      </c>
    </row>
    <row r="21" spans="2:4" ht="18" customHeight="1">
      <c r="B21" s="117">
        <v>43213</v>
      </c>
      <c r="C21" s="116" t="str">
        <f t="shared" si="0"/>
        <v>SEG</v>
      </c>
      <c r="D21" s="123">
        <v>0.22013888888888888</v>
      </c>
    </row>
    <row r="22" spans="2:4" ht="18" customHeight="1">
      <c r="B22" s="117">
        <v>43214</v>
      </c>
      <c r="C22" s="116" t="str">
        <f t="shared" si="0"/>
        <v>TER</v>
      </c>
      <c r="D22" s="123">
        <v>0.34166666666666662</v>
      </c>
    </row>
    <row r="23" spans="2:4" ht="18" customHeight="1">
      <c r="B23" s="117">
        <v>43215</v>
      </c>
      <c r="C23" s="116" t="str">
        <f t="shared" si="0"/>
        <v>QUA</v>
      </c>
      <c r="D23" s="123">
        <v>0.39305555555555555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1BBB9-10B5-46F7-BCA0-2F282F87FE78}">
  <sheetPr codeName="Planilha8">
    <tabColor rgb="FFFF0000"/>
  </sheetPr>
  <dimension ref="B1:U14"/>
  <sheetViews>
    <sheetView zoomScaleNormal="100" workbookViewId="0">
      <selection activeCell="E8" sqref="E8"/>
    </sheetView>
  </sheetViews>
  <sheetFormatPr defaultColWidth="9.6640625" defaultRowHeight="18" customHeight="1"/>
  <cols>
    <col min="1" max="1" width="3.6640625" style="111" customWidth="1"/>
    <col min="2" max="2" width="14.88671875" style="111" customWidth="1"/>
    <col min="3" max="3" width="10.5546875" style="111" bestFit="1" customWidth="1"/>
    <col min="4" max="4" width="13.109375" style="111" bestFit="1" customWidth="1"/>
    <col min="5" max="8" width="9.6640625" style="111"/>
    <col min="9" max="9" width="27.88671875" style="111" bestFit="1" customWidth="1"/>
    <col min="10" max="10" width="14.109375" style="111" customWidth="1"/>
    <col min="11" max="11" width="15.109375" style="111" customWidth="1"/>
    <col min="12" max="12" width="9.6640625" style="111"/>
    <col min="13" max="13" width="11.44140625" style="111" bestFit="1" customWidth="1"/>
    <col min="14" max="14" width="12.6640625" style="111" bestFit="1" customWidth="1"/>
    <col min="15" max="15" width="12.44140625" style="111" bestFit="1" customWidth="1"/>
    <col min="16" max="16" width="9.6640625" style="111"/>
    <col min="17" max="17" width="74" style="111" bestFit="1" customWidth="1"/>
    <col min="18" max="18" width="9.6640625" style="111"/>
    <col min="19" max="19" width="10.44140625" style="111" bestFit="1" customWidth="1"/>
    <col min="20" max="20" width="11.33203125" style="111" bestFit="1" customWidth="1"/>
    <col min="21" max="21" width="11.44140625" style="111" bestFit="1" customWidth="1"/>
    <col min="22" max="16384" width="9.6640625" style="111"/>
  </cols>
  <sheetData>
    <row r="1" spans="2:21" ht="18" customHeight="1" thickBot="1"/>
    <row r="2" spans="2:21" ht="18" customHeight="1" thickBot="1">
      <c r="B2" s="110" t="s">
        <v>1090</v>
      </c>
      <c r="H2" s="112" t="s">
        <v>1091</v>
      </c>
      <c r="I2" s="216" t="s">
        <v>1339</v>
      </c>
      <c r="J2" s="112"/>
      <c r="K2" s="112"/>
      <c r="L2" s="112"/>
    </row>
    <row r="3" spans="2:21" ht="18" customHeight="1" thickBot="1"/>
    <row r="4" spans="2:21" ht="27.6">
      <c r="B4" s="113" t="s">
        <v>1092</v>
      </c>
      <c r="C4" s="114" t="s">
        <v>1093</v>
      </c>
      <c r="D4" s="114" t="s">
        <v>1094</v>
      </c>
      <c r="E4" s="115" t="s">
        <v>82</v>
      </c>
      <c r="F4" s="115" t="s">
        <v>83</v>
      </c>
      <c r="G4" s="115" t="s">
        <v>84</v>
      </c>
      <c r="H4" s="111" t="s">
        <v>1318</v>
      </c>
      <c r="I4" s="115" t="s">
        <v>82</v>
      </c>
      <c r="J4" s="115" t="s">
        <v>83</v>
      </c>
      <c r="K4" s="115" t="s">
        <v>84</v>
      </c>
      <c r="M4" s="189" t="s">
        <v>1340</v>
      </c>
      <c r="N4" s="190" t="s">
        <v>1341</v>
      </c>
      <c r="O4" s="191" t="s">
        <v>1342</v>
      </c>
      <c r="Q4" s="210" t="s">
        <v>1343</v>
      </c>
      <c r="S4" s="221" t="s">
        <v>1345</v>
      </c>
      <c r="T4" s="223" t="s">
        <v>1346</v>
      </c>
      <c r="U4" s="225" t="s">
        <v>1347</v>
      </c>
    </row>
    <row r="5" spans="2:21" ht="18" customHeight="1" thickBot="1">
      <c r="B5" s="116">
        <v>1001</v>
      </c>
      <c r="C5" s="117">
        <v>41088</v>
      </c>
      <c r="D5" s="118">
        <v>43840</v>
      </c>
      <c r="E5" s="119">
        <f>DATEDIF(C5,D5,"y")</f>
        <v>7</v>
      </c>
      <c r="F5" s="119">
        <f>DATEDIF(C5,D5,"m")</f>
        <v>90</v>
      </c>
      <c r="G5" s="119">
        <f>DATEDIF(C5,D5,"d")</f>
        <v>2752</v>
      </c>
      <c r="I5" s="119">
        <f>DATEDIF(C5,D5,"y")</f>
        <v>7</v>
      </c>
      <c r="J5" s="119">
        <f>DATEDIF(C5,D5,"ym")</f>
        <v>6</v>
      </c>
      <c r="K5" s="119">
        <f>DATEDIF(C5,D5,"md")</f>
        <v>13</v>
      </c>
      <c r="L5" s="217"/>
      <c r="M5" s="218">
        <v>1200</v>
      </c>
      <c r="N5" s="219">
        <v>300</v>
      </c>
      <c r="O5" s="220">
        <f>N5*60</f>
        <v>18000</v>
      </c>
      <c r="Q5" s="212" t="s">
        <v>1344</v>
      </c>
      <c r="S5" s="222">
        <f ca="1">TODAY()</f>
        <v>44739</v>
      </c>
      <c r="T5" s="224">
        <v>26095</v>
      </c>
      <c r="U5" s="226">
        <f ca="1">DATEDIF(T5,S5,"m")*10</f>
        <v>6120</v>
      </c>
    </row>
    <row r="6" spans="2:21" ht="18" customHeight="1">
      <c r="B6" s="116">
        <v>1002</v>
      </c>
      <c r="C6" s="117">
        <v>41275</v>
      </c>
      <c r="D6" s="118">
        <v>43642</v>
      </c>
      <c r="E6" s="119">
        <f t="shared" ref="E6:E14" si="0">DATEDIF(C6,D6,"y")</f>
        <v>6</v>
      </c>
      <c r="F6" s="119">
        <f t="shared" ref="F6:F14" si="1">DATEDIF(C6,D6,"m")</f>
        <v>77</v>
      </c>
      <c r="G6" s="119">
        <f t="shared" ref="G6:G14" si="2">DATEDIF(C6,D6,"d")</f>
        <v>2367</v>
      </c>
      <c r="I6" s="119"/>
      <c r="J6" s="119"/>
      <c r="K6" s="119"/>
    </row>
    <row r="7" spans="2:21" ht="18" customHeight="1">
      <c r="B7" s="116">
        <v>1003</v>
      </c>
      <c r="C7" s="117">
        <v>41283</v>
      </c>
      <c r="D7" s="118">
        <v>43889</v>
      </c>
      <c r="E7" s="119">
        <f t="shared" si="0"/>
        <v>7</v>
      </c>
      <c r="F7" s="119">
        <f t="shared" si="1"/>
        <v>85</v>
      </c>
      <c r="G7" s="119">
        <f t="shared" si="2"/>
        <v>2606</v>
      </c>
      <c r="I7" s="119"/>
      <c r="J7" s="119"/>
      <c r="K7" s="119"/>
    </row>
    <row r="8" spans="2:21" ht="18" customHeight="1">
      <c r="B8" s="116">
        <v>1004</v>
      </c>
      <c r="C8" s="117">
        <v>41742</v>
      </c>
      <c r="D8" s="118">
        <v>43956</v>
      </c>
      <c r="E8" s="119">
        <f t="shared" si="0"/>
        <v>6</v>
      </c>
      <c r="F8" s="119">
        <f t="shared" si="1"/>
        <v>72</v>
      </c>
      <c r="G8" s="119">
        <f t="shared" si="2"/>
        <v>2214</v>
      </c>
      <c r="I8" s="119"/>
      <c r="J8" s="119"/>
      <c r="K8" s="119"/>
    </row>
    <row r="9" spans="2:21" ht="18" customHeight="1">
      <c r="B9" s="116">
        <v>1005</v>
      </c>
      <c r="C9" s="117">
        <v>41766</v>
      </c>
      <c r="D9" s="118">
        <v>42856</v>
      </c>
      <c r="E9" s="119">
        <f t="shared" si="0"/>
        <v>2</v>
      </c>
      <c r="F9" s="119">
        <f t="shared" si="1"/>
        <v>35</v>
      </c>
      <c r="G9" s="119">
        <f t="shared" si="2"/>
        <v>1090</v>
      </c>
      <c r="I9" s="119"/>
      <c r="J9" s="119"/>
      <c r="K9" s="119"/>
    </row>
    <row r="10" spans="2:21" ht="18" customHeight="1">
      <c r="B10" s="116">
        <v>1006</v>
      </c>
      <c r="C10" s="117">
        <v>41792</v>
      </c>
      <c r="D10" s="118">
        <v>43387</v>
      </c>
      <c r="E10" s="119">
        <f t="shared" si="0"/>
        <v>4</v>
      </c>
      <c r="F10" s="119">
        <f t="shared" si="1"/>
        <v>52</v>
      </c>
      <c r="G10" s="119">
        <f t="shared" si="2"/>
        <v>1595</v>
      </c>
      <c r="I10" s="119"/>
      <c r="J10" s="119"/>
      <c r="K10" s="119"/>
    </row>
    <row r="11" spans="2:21" ht="18" customHeight="1">
      <c r="B11" s="116">
        <v>1007</v>
      </c>
      <c r="C11" s="117">
        <v>42390</v>
      </c>
      <c r="D11" s="118">
        <v>42558</v>
      </c>
      <c r="E11" s="119">
        <f t="shared" si="0"/>
        <v>0</v>
      </c>
      <c r="F11" s="119">
        <f t="shared" si="1"/>
        <v>5</v>
      </c>
      <c r="G11" s="119">
        <f t="shared" si="2"/>
        <v>168</v>
      </c>
      <c r="I11" s="119"/>
      <c r="J11" s="119"/>
      <c r="K11" s="119"/>
    </row>
    <row r="12" spans="2:21" ht="18" customHeight="1">
      <c r="B12" s="116">
        <v>1008</v>
      </c>
      <c r="C12" s="117">
        <v>42533</v>
      </c>
      <c r="D12" s="118">
        <v>42988</v>
      </c>
      <c r="E12" s="119">
        <f t="shared" si="0"/>
        <v>1</v>
      </c>
      <c r="F12" s="119">
        <f t="shared" si="1"/>
        <v>14</v>
      </c>
      <c r="G12" s="119">
        <f t="shared" si="2"/>
        <v>455</v>
      </c>
      <c r="I12" s="119"/>
      <c r="J12" s="119"/>
      <c r="K12" s="119"/>
    </row>
    <row r="13" spans="2:21" ht="18" customHeight="1">
      <c r="B13" s="116">
        <v>1009</v>
      </c>
      <c r="C13" s="117">
        <v>42690</v>
      </c>
      <c r="D13" s="118">
        <v>42869</v>
      </c>
      <c r="E13" s="119">
        <f t="shared" si="0"/>
        <v>0</v>
      </c>
      <c r="F13" s="119">
        <f t="shared" si="1"/>
        <v>5</v>
      </c>
      <c r="G13" s="119">
        <f t="shared" si="2"/>
        <v>179</v>
      </c>
      <c r="I13" s="119"/>
      <c r="J13" s="119"/>
      <c r="K13" s="119"/>
    </row>
    <row r="14" spans="2:21" ht="18" customHeight="1">
      <c r="B14" s="116">
        <v>1010</v>
      </c>
      <c r="C14" s="117">
        <v>42719</v>
      </c>
      <c r="D14" s="118">
        <v>43181</v>
      </c>
      <c r="E14" s="119">
        <f t="shared" si="0"/>
        <v>1</v>
      </c>
      <c r="F14" s="119">
        <f t="shared" si="1"/>
        <v>15</v>
      </c>
      <c r="G14" s="119">
        <f t="shared" si="2"/>
        <v>462</v>
      </c>
      <c r="I14" s="119"/>
      <c r="J14" s="119"/>
      <c r="K14" s="119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3DE94-2EE6-42F2-8B71-FC0224E57600}">
  <sheetPr codeName="Planilha9">
    <tabColor rgb="FF7030A0"/>
  </sheetPr>
  <dimension ref="B2:H11"/>
  <sheetViews>
    <sheetView topLeftCell="B1" zoomScaleNormal="100" workbookViewId="0">
      <selection activeCell="F22" sqref="F22"/>
    </sheetView>
  </sheetViews>
  <sheetFormatPr defaultColWidth="9.6640625" defaultRowHeight="18" customHeight="1"/>
  <cols>
    <col min="1" max="1" width="2" style="111" customWidth="1"/>
    <col min="2" max="2" width="9.6640625" style="111"/>
    <col min="3" max="3" width="24.44140625" style="111" customWidth="1"/>
    <col min="4" max="4" width="10.44140625" style="111" bestFit="1" customWidth="1"/>
    <col min="5" max="5" width="15.33203125" style="111" customWidth="1"/>
    <col min="6" max="6" width="16.109375" style="111" customWidth="1"/>
    <col min="7" max="16384" width="9.6640625" style="111"/>
  </cols>
  <sheetData>
    <row r="2" spans="2:8" ht="18" customHeight="1">
      <c r="B2" s="111" t="s">
        <v>1148</v>
      </c>
    </row>
    <row r="3" spans="2:8" ht="18" customHeight="1">
      <c r="B3" s="111" t="s">
        <v>1149</v>
      </c>
      <c r="F3" s="345" t="s">
        <v>1150</v>
      </c>
      <c r="G3" s="345"/>
      <c r="H3" s="345"/>
    </row>
    <row r="4" spans="2:8" ht="30" customHeight="1">
      <c r="B4" s="138" t="s">
        <v>89</v>
      </c>
      <c r="C4" s="139" t="s">
        <v>1050</v>
      </c>
      <c r="D4" s="140" t="s">
        <v>1151</v>
      </c>
      <c r="E4" s="140" t="s">
        <v>1152</v>
      </c>
      <c r="F4" s="141" t="s">
        <v>82</v>
      </c>
      <c r="G4" s="141" t="s">
        <v>83</v>
      </c>
      <c r="H4" s="141" t="s">
        <v>84</v>
      </c>
    </row>
    <row r="5" spans="2:8" ht="18" customHeight="1">
      <c r="B5" s="110">
        <v>10307</v>
      </c>
      <c r="C5" s="110" t="s">
        <v>1153</v>
      </c>
      <c r="D5" s="142">
        <v>41198</v>
      </c>
      <c r="E5" s="110"/>
      <c r="F5" s="143"/>
      <c r="G5" s="110"/>
      <c r="H5" s="110"/>
    </row>
    <row r="6" spans="2:8" ht="18" customHeight="1">
      <c r="B6" s="110">
        <v>10308</v>
      </c>
      <c r="C6" s="110" t="s">
        <v>1154</v>
      </c>
      <c r="D6" s="142">
        <v>38135</v>
      </c>
      <c r="E6" s="142">
        <v>41102</v>
      </c>
      <c r="F6" s="143"/>
      <c r="G6" s="110"/>
      <c r="H6" s="110"/>
    </row>
    <row r="7" spans="2:8" ht="18" customHeight="1">
      <c r="B7" s="110">
        <v>10309</v>
      </c>
      <c r="C7" s="110" t="s">
        <v>1155</v>
      </c>
      <c r="D7" s="142">
        <v>40000</v>
      </c>
      <c r="E7" s="110"/>
      <c r="F7" s="143"/>
      <c r="G7" s="110"/>
      <c r="H7" s="110"/>
    </row>
    <row r="8" spans="2:8" ht="18" customHeight="1">
      <c r="B8" s="110">
        <v>10310</v>
      </c>
      <c r="C8" s="110" t="s">
        <v>1156</v>
      </c>
      <c r="D8" s="142">
        <v>41108</v>
      </c>
      <c r="E8" s="142">
        <v>42486</v>
      </c>
      <c r="F8" s="143"/>
      <c r="G8" s="110"/>
      <c r="H8" s="110"/>
    </row>
    <row r="9" spans="2:8" ht="18" customHeight="1">
      <c r="B9" s="110">
        <v>10311</v>
      </c>
      <c r="C9" s="110" t="s">
        <v>1157</v>
      </c>
      <c r="D9" s="142">
        <v>42343</v>
      </c>
      <c r="E9" s="110"/>
      <c r="F9" s="143"/>
      <c r="G9" s="110"/>
      <c r="H9" s="110"/>
    </row>
    <row r="10" spans="2:8" ht="18" customHeight="1">
      <c r="B10" s="110">
        <v>10312</v>
      </c>
      <c r="C10" s="110" t="s">
        <v>1158</v>
      </c>
      <c r="D10" s="142">
        <v>38422</v>
      </c>
      <c r="E10" s="142">
        <v>42988</v>
      </c>
      <c r="F10" s="143"/>
      <c r="G10" s="110"/>
      <c r="H10" s="110"/>
    </row>
    <row r="11" spans="2:8" ht="18" customHeight="1">
      <c r="B11" s="110">
        <v>10313</v>
      </c>
      <c r="C11" s="110" t="s">
        <v>1159</v>
      </c>
      <c r="D11" s="142">
        <v>36852</v>
      </c>
      <c r="E11" s="142">
        <v>40792</v>
      </c>
      <c r="F11" s="143"/>
      <c r="G11" s="110"/>
      <c r="H11" s="110"/>
    </row>
  </sheetData>
  <mergeCells count="1">
    <mergeCell ref="F3:H3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6F3EB-4503-4840-92E3-CA14A8CF5637}">
  <sheetPr codeName="Planilha10">
    <tabColor rgb="FF7030A0"/>
  </sheetPr>
  <dimension ref="B2:AA42"/>
  <sheetViews>
    <sheetView showGridLines="0" zoomScaleNormal="100" workbookViewId="0">
      <selection activeCell="G32" sqref="G32"/>
    </sheetView>
  </sheetViews>
  <sheetFormatPr defaultColWidth="9.109375" defaultRowHeight="15" customHeight="1"/>
  <cols>
    <col min="1" max="2" width="1.6640625" style="5" customWidth="1"/>
    <col min="3" max="4" width="10.6640625" style="5" customWidth="1"/>
    <col min="5" max="5" width="12.6640625" style="5" customWidth="1"/>
    <col min="6" max="6" width="10.6640625" style="5" customWidth="1"/>
    <col min="7" max="7" width="12.6640625" style="5" customWidth="1"/>
    <col min="8" max="8" width="9.109375" style="5"/>
    <col min="9" max="9" width="13.6640625" style="5" bestFit="1" customWidth="1"/>
    <col min="10" max="10" width="9.109375" style="5"/>
    <col min="11" max="11" width="11.6640625" style="5" bestFit="1" customWidth="1"/>
    <col min="12" max="12" width="9.109375" style="5"/>
    <col min="13" max="20" width="10.6640625" style="5" customWidth="1"/>
    <col min="21" max="21" width="9.109375" style="5"/>
    <col min="22" max="22" width="1.6640625" style="5" customWidth="1"/>
    <col min="23" max="24" width="9.109375" style="5"/>
    <col min="25" max="25" width="31.109375" style="5" bestFit="1" customWidth="1"/>
    <col min="26" max="26" width="10.88671875" style="5" bestFit="1" customWidth="1"/>
    <col min="27" max="16384" width="9.109375" style="5"/>
  </cols>
  <sheetData>
    <row r="2" spans="2:22" ht="15" customHeight="1">
      <c r="B2" s="1"/>
      <c r="C2" s="2" t="s">
        <v>0</v>
      </c>
      <c r="D2" s="3"/>
      <c r="E2" s="3"/>
      <c r="F2" s="2" t="s">
        <v>1</v>
      </c>
      <c r="G2" s="3"/>
      <c r="H2" s="3"/>
      <c r="I2" s="3"/>
      <c r="J2" s="3"/>
      <c r="K2" s="2" t="s">
        <v>2</v>
      </c>
      <c r="L2" s="3"/>
      <c r="M2" s="3"/>
      <c r="N2" s="3"/>
      <c r="O2" s="3"/>
      <c r="P2" s="2" t="s">
        <v>4</v>
      </c>
      <c r="Q2" s="3"/>
      <c r="R2" s="3"/>
      <c r="S2" s="3"/>
      <c r="T2" s="3"/>
      <c r="U2" s="2" t="s">
        <v>5</v>
      </c>
      <c r="V2" s="4"/>
    </row>
    <row r="3" spans="2:22" ht="15" customHeight="1">
      <c r="B3" s="6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8"/>
    </row>
    <row r="4" spans="2:22" ht="15" customHeight="1">
      <c r="B4" s="6"/>
      <c r="C4" s="9" t="s">
        <v>6</v>
      </c>
      <c r="D4" s="51" t="s">
        <v>65</v>
      </c>
      <c r="E4" s="7" t="s">
        <v>66</v>
      </c>
      <c r="F4" s="7"/>
      <c r="G4" s="7"/>
      <c r="H4" s="7"/>
      <c r="I4" s="7"/>
      <c r="J4" s="7"/>
      <c r="K4" s="7"/>
      <c r="L4" s="7"/>
      <c r="N4" s="11" t="s">
        <v>67</v>
      </c>
      <c r="Q4" s="7"/>
      <c r="R4" s="7"/>
      <c r="S4" s="7"/>
      <c r="T4" s="7"/>
      <c r="U4" s="7"/>
      <c r="V4" s="8"/>
    </row>
    <row r="5" spans="2:22" ht="15" customHeight="1">
      <c r="B5" s="6"/>
      <c r="C5" s="9" t="s">
        <v>10</v>
      </c>
      <c r="D5" s="12" t="s">
        <v>68</v>
      </c>
      <c r="E5" s="7"/>
      <c r="F5" s="7"/>
      <c r="G5" s="7"/>
      <c r="H5" s="7"/>
      <c r="I5" s="7"/>
      <c r="J5" s="7"/>
      <c r="K5" s="7"/>
      <c r="L5" s="7"/>
      <c r="N5" s="11" t="s">
        <v>69</v>
      </c>
      <c r="O5" s="5" t="s">
        <v>70</v>
      </c>
      <c r="P5" s="7" t="s">
        <v>71</v>
      </c>
      <c r="R5" s="7"/>
      <c r="S5" s="7"/>
      <c r="T5" s="7"/>
      <c r="U5" s="7"/>
      <c r="V5" s="8"/>
    </row>
    <row r="6" spans="2:22" ht="15" customHeight="1">
      <c r="B6" s="6"/>
      <c r="C6" s="7" t="s">
        <v>1348</v>
      </c>
      <c r="D6" s="7"/>
      <c r="E6" s="7"/>
      <c r="F6" s="7"/>
      <c r="G6" s="7"/>
      <c r="H6" s="7"/>
      <c r="I6" s="7"/>
      <c r="J6" s="7"/>
      <c r="K6" s="7"/>
      <c r="L6" s="7"/>
      <c r="N6" s="11" t="s">
        <v>72</v>
      </c>
      <c r="O6" s="5" t="s">
        <v>73</v>
      </c>
      <c r="P6" s="7"/>
      <c r="Q6" s="7"/>
      <c r="R6" s="7"/>
      <c r="S6" s="7"/>
      <c r="T6" s="7"/>
      <c r="U6" s="7"/>
      <c r="V6" s="8"/>
    </row>
    <row r="7" spans="2:22" ht="15" customHeight="1">
      <c r="B7" s="13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5"/>
    </row>
    <row r="8" spans="2:22" ht="15" customHeight="1">
      <c r="B8" s="6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8"/>
    </row>
    <row r="9" spans="2:22" ht="15" customHeight="1">
      <c r="B9" s="6"/>
      <c r="C9" s="52" t="s">
        <v>14</v>
      </c>
      <c r="D9" s="32"/>
      <c r="E9" s="32"/>
      <c r="F9" s="32"/>
      <c r="G9" s="32"/>
      <c r="H9" s="32"/>
      <c r="I9" s="32"/>
      <c r="J9" s="32"/>
      <c r="K9" s="32"/>
      <c r="L9" s="32"/>
      <c r="M9" s="52" t="s">
        <v>24</v>
      </c>
      <c r="N9" s="32"/>
      <c r="O9" s="32"/>
      <c r="P9" s="32"/>
      <c r="Q9" s="32"/>
      <c r="R9" s="32"/>
      <c r="S9" s="7"/>
      <c r="T9" s="7"/>
      <c r="U9" s="7"/>
      <c r="V9" s="8"/>
    </row>
    <row r="10" spans="2:22" ht="15" customHeight="1">
      <c r="B10" s="6"/>
      <c r="C10" s="32" t="s">
        <v>74</v>
      </c>
      <c r="D10" s="32"/>
      <c r="E10" s="32"/>
      <c r="F10" s="32"/>
      <c r="G10" s="32"/>
      <c r="H10" s="32"/>
      <c r="I10" s="32"/>
      <c r="J10" s="32"/>
      <c r="K10" s="32"/>
      <c r="L10" s="32"/>
      <c r="M10" s="32" t="s">
        <v>75</v>
      </c>
      <c r="N10" s="32"/>
      <c r="O10" s="32"/>
      <c r="P10" s="32"/>
      <c r="Q10" s="32"/>
      <c r="R10" s="32"/>
      <c r="S10" s="7"/>
      <c r="T10" s="7"/>
      <c r="U10" s="7"/>
      <c r="V10" s="8"/>
    </row>
    <row r="11" spans="2:22" ht="15" customHeight="1">
      <c r="B11" s="6"/>
      <c r="C11" s="32" t="s">
        <v>76</v>
      </c>
      <c r="D11" s="32"/>
      <c r="E11" s="32"/>
      <c r="F11" s="32"/>
      <c r="G11" s="32"/>
      <c r="H11" s="32"/>
      <c r="I11" s="32"/>
      <c r="J11" s="32"/>
      <c r="K11" s="32"/>
      <c r="L11" s="32"/>
      <c r="M11" s="32" t="s">
        <v>77</v>
      </c>
      <c r="N11" s="32"/>
      <c r="O11" s="32"/>
      <c r="P11" s="32"/>
      <c r="Q11" s="32"/>
      <c r="R11" s="32"/>
      <c r="S11" s="7"/>
      <c r="T11" s="7"/>
      <c r="U11" s="7"/>
      <c r="V11" s="8"/>
    </row>
    <row r="12" spans="2:22" ht="15" customHeight="1">
      <c r="B12" s="6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7"/>
      <c r="T12" s="7"/>
      <c r="U12" s="7"/>
      <c r="V12" s="8"/>
    </row>
    <row r="13" spans="2:22" ht="15" customHeight="1">
      <c r="B13" s="6"/>
      <c r="C13" s="32"/>
      <c r="D13" s="32"/>
      <c r="E13" s="32"/>
      <c r="F13" s="32"/>
      <c r="G13" s="53" t="s">
        <v>78</v>
      </c>
      <c r="H13" s="53"/>
      <c r="I13" s="53"/>
      <c r="J13" s="53"/>
      <c r="K13" s="53"/>
      <c r="L13" s="32"/>
      <c r="M13" s="32" t="s">
        <v>79</v>
      </c>
      <c r="N13" s="32"/>
      <c r="O13" s="32"/>
      <c r="P13" s="32"/>
      <c r="Q13" s="32"/>
      <c r="R13" s="32"/>
      <c r="S13" s="7"/>
      <c r="T13" s="7"/>
      <c r="U13" s="7"/>
      <c r="V13" s="8"/>
    </row>
    <row r="14" spans="2:22" ht="15" customHeight="1">
      <c r="B14" s="6"/>
      <c r="C14" s="32"/>
      <c r="D14" s="32"/>
      <c r="E14" s="54" t="s">
        <v>80</v>
      </c>
      <c r="F14" s="55" t="s">
        <v>81</v>
      </c>
      <c r="G14" s="19" t="s">
        <v>82</v>
      </c>
      <c r="H14" s="19" t="s">
        <v>83</v>
      </c>
      <c r="I14" s="19"/>
      <c r="J14" s="19"/>
      <c r="K14" s="19" t="s">
        <v>84</v>
      </c>
      <c r="L14" s="32"/>
      <c r="M14" s="56">
        <v>37718</v>
      </c>
      <c r="N14" s="32"/>
      <c r="O14" s="32"/>
      <c r="P14" s="32"/>
      <c r="Q14" s="32"/>
      <c r="R14" s="32"/>
      <c r="S14" s="7"/>
      <c r="T14" s="7"/>
      <c r="U14" s="7"/>
      <c r="V14" s="8"/>
    </row>
    <row r="15" spans="2:22" ht="15" customHeight="1">
      <c r="B15" s="6"/>
      <c r="C15" s="32"/>
      <c r="D15" s="32"/>
      <c r="E15" s="57">
        <v>40677</v>
      </c>
      <c r="F15" s="23"/>
      <c r="G15" s="24"/>
      <c r="H15" s="24"/>
      <c r="I15" s="24"/>
      <c r="J15" s="24"/>
      <c r="K15" s="24"/>
      <c r="L15" s="32"/>
      <c r="M15" s="32"/>
      <c r="N15" s="32"/>
      <c r="O15" s="32"/>
      <c r="P15" s="32"/>
      <c r="Q15" s="32"/>
      <c r="R15" s="32"/>
      <c r="S15" s="7"/>
      <c r="T15" s="7"/>
      <c r="U15" s="7"/>
      <c r="V15" s="8"/>
    </row>
    <row r="16" spans="2:22" ht="15" customHeight="1">
      <c r="B16" s="6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 t="s">
        <v>85</v>
      </c>
      <c r="N16" s="32"/>
      <c r="O16" s="32"/>
      <c r="P16" s="32"/>
      <c r="Q16" s="32"/>
      <c r="R16" s="32"/>
      <c r="S16" s="7"/>
      <c r="T16" s="7"/>
      <c r="U16" s="7"/>
      <c r="V16" s="8"/>
    </row>
    <row r="17" spans="2:27" ht="15" customHeight="1">
      <c r="B17" s="6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56">
        <v>14398</v>
      </c>
      <c r="N17" s="32"/>
      <c r="O17" s="32"/>
      <c r="P17" s="32"/>
      <c r="Q17" s="32"/>
      <c r="R17" s="32"/>
      <c r="S17" s="7"/>
      <c r="T17" s="7"/>
      <c r="U17" s="7"/>
      <c r="V17" s="8"/>
    </row>
    <row r="18" spans="2:27" ht="15" customHeight="1">
      <c r="B18" s="6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7"/>
      <c r="T18" s="7"/>
      <c r="U18" s="7"/>
      <c r="V18" s="8"/>
    </row>
    <row r="19" spans="2:27" ht="15" customHeight="1">
      <c r="B19" s="6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19" t="s">
        <v>82</v>
      </c>
      <c r="N19" s="19" t="s">
        <v>83</v>
      </c>
      <c r="O19" s="19" t="s">
        <v>84</v>
      </c>
      <c r="P19" s="32"/>
      <c r="Q19" s="32"/>
      <c r="R19" s="32"/>
      <c r="S19" s="7"/>
      <c r="T19" s="7"/>
      <c r="U19" s="7"/>
      <c r="V19" s="8"/>
    </row>
    <row r="20" spans="2:27" ht="15" customHeight="1">
      <c r="B20" s="6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24"/>
      <c r="N20" s="24"/>
      <c r="O20" s="24"/>
      <c r="P20" s="32"/>
      <c r="Q20" s="32"/>
      <c r="R20" s="32"/>
      <c r="S20" s="7"/>
      <c r="T20" s="7"/>
      <c r="U20" s="7"/>
      <c r="V20" s="8"/>
    </row>
    <row r="21" spans="2:27" ht="15" customHeight="1">
      <c r="B21" s="25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 t="s">
        <v>86</v>
      </c>
      <c r="N21" s="26"/>
      <c r="O21" s="26"/>
      <c r="P21" s="26"/>
      <c r="Q21" s="26"/>
      <c r="R21" s="26"/>
      <c r="S21" s="26"/>
      <c r="T21" s="26"/>
      <c r="U21" s="26"/>
      <c r="V21" s="27"/>
    </row>
    <row r="23" spans="2:27" ht="15" customHeight="1">
      <c r="B23" s="58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  <c r="T23" s="59"/>
      <c r="U23" s="59"/>
      <c r="V23" s="60"/>
    </row>
    <row r="24" spans="2:27" ht="15" customHeight="1">
      <c r="B24" s="61"/>
      <c r="C24" s="52" t="s">
        <v>34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62"/>
    </row>
    <row r="25" spans="2:27" ht="15" customHeight="1">
      <c r="B25" s="61"/>
      <c r="C25" s="7" t="s">
        <v>87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62"/>
    </row>
    <row r="26" spans="2:27" ht="15" customHeight="1">
      <c r="B26" s="61"/>
      <c r="C26" s="7" t="s">
        <v>88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62"/>
    </row>
    <row r="27" spans="2:27" ht="15" customHeight="1">
      <c r="B27" s="61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62"/>
      <c r="X27" s="7"/>
    </row>
    <row r="28" spans="2:27" ht="15" customHeight="1">
      <c r="B28" s="61"/>
      <c r="C28" s="63" t="s">
        <v>89</v>
      </c>
      <c r="D28" s="19" t="s">
        <v>90</v>
      </c>
      <c r="E28" s="19" t="s">
        <v>91</v>
      </c>
      <c r="F28" s="19" t="s">
        <v>82</v>
      </c>
      <c r="G28" s="19" t="s">
        <v>1353</v>
      </c>
      <c r="H28" s="19" t="s">
        <v>83</v>
      </c>
      <c r="I28" s="19" t="s">
        <v>1355</v>
      </c>
      <c r="J28" s="19" t="s">
        <v>84</v>
      </c>
      <c r="K28" s="19" t="s">
        <v>1354</v>
      </c>
      <c r="L28" s="7"/>
      <c r="M28" s="7"/>
      <c r="N28" s="7"/>
      <c r="O28" s="7"/>
      <c r="P28" s="7"/>
      <c r="Q28" s="7"/>
      <c r="R28" s="7"/>
      <c r="S28" s="7"/>
      <c r="T28" s="7"/>
      <c r="U28" s="7"/>
      <c r="V28" s="62"/>
      <c r="W28" s="7"/>
      <c r="X28" s="7"/>
      <c r="Z28" s="5" t="s">
        <v>1338</v>
      </c>
    </row>
    <row r="29" spans="2:27" ht="15" customHeight="1">
      <c r="B29" s="61"/>
      <c r="C29" s="231">
        <v>1001</v>
      </c>
      <c r="D29" s="64">
        <v>39618</v>
      </c>
      <c r="E29" s="64">
        <v>43286</v>
      </c>
      <c r="F29" s="231">
        <f ca="1">IF(E29=0,DATEDIF(D29,TODAY(),"y"),DATEDIF(D29,E29,"y"))</f>
        <v>10</v>
      </c>
      <c r="G29" s="231">
        <f ca="1">DATEDIF(D29,IF(E29="",TODAY(),E29),"ym")</f>
        <v>0</v>
      </c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62"/>
      <c r="W29" s="7"/>
      <c r="X29" s="7"/>
    </row>
    <row r="30" spans="2:27" ht="15" customHeight="1">
      <c r="B30" s="61"/>
      <c r="C30" s="231">
        <v>1002</v>
      </c>
      <c r="D30" s="64">
        <v>38840</v>
      </c>
      <c r="E30" s="64">
        <v>42732</v>
      </c>
      <c r="F30" s="231">
        <f t="shared" ref="F30:F40" ca="1" si="0">IF(E30=0,DATEDIF(D30,TODAY(),"y"),DATEDIF(D30,E30,"y"))</f>
        <v>10</v>
      </c>
      <c r="G30" s="231">
        <f t="shared" ref="G30:G40" ca="1" si="1">DATEDIF(D30,IF(E30="",TODAY(),E30),"y")</f>
        <v>10</v>
      </c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62"/>
      <c r="W30" s="7"/>
      <c r="X30" s="7"/>
    </row>
    <row r="31" spans="2:27" ht="15" customHeight="1" thickBot="1">
      <c r="B31" s="61"/>
      <c r="C31" s="231">
        <v>1003</v>
      </c>
      <c r="D31" s="64">
        <v>39868</v>
      </c>
      <c r="E31" s="64"/>
      <c r="F31" s="231">
        <f t="shared" ca="1" si="0"/>
        <v>13</v>
      </c>
      <c r="G31" s="231">
        <f t="shared" ca="1" si="1"/>
        <v>13</v>
      </c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62"/>
      <c r="W31" s="7"/>
      <c r="X31" s="7"/>
      <c r="Z31" s="5" t="s">
        <v>1349</v>
      </c>
    </row>
    <row r="32" spans="2:27" ht="15" customHeight="1" thickBot="1">
      <c r="B32" s="61"/>
      <c r="C32" s="231">
        <v>1004</v>
      </c>
      <c r="D32" s="64">
        <v>42027</v>
      </c>
      <c r="E32" s="64">
        <v>42040</v>
      </c>
      <c r="F32" s="231">
        <f t="shared" ca="1" si="0"/>
        <v>0</v>
      </c>
      <c r="G32" s="231">
        <f t="shared" ca="1" si="1"/>
        <v>0</v>
      </c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62"/>
      <c r="W32" s="7"/>
      <c r="X32" s="7"/>
      <c r="Z32" s="229" t="s">
        <v>1350</v>
      </c>
      <c r="AA32" s="230" t="b">
        <f>Y21=""</f>
        <v>1</v>
      </c>
    </row>
    <row r="33" spans="2:27" ht="15" customHeight="1" thickBot="1">
      <c r="B33" s="61"/>
      <c r="C33" s="231">
        <v>1005</v>
      </c>
      <c r="D33" s="64">
        <v>41673</v>
      </c>
      <c r="E33" s="64">
        <v>42935</v>
      </c>
      <c r="F33" s="231">
        <f t="shared" ca="1" si="0"/>
        <v>3</v>
      </c>
      <c r="G33" s="231">
        <f t="shared" ca="1" si="1"/>
        <v>3</v>
      </c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62"/>
      <c r="W33" s="7"/>
      <c r="X33" s="7"/>
      <c r="Z33" s="227" t="s">
        <v>1351</v>
      </c>
      <c r="AA33" s="228" t="b">
        <f>Y21=0</f>
        <v>1</v>
      </c>
    </row>
    <row r="34" spans="2:27" ht="15" customHeight="1" thickBot="1">
      <c r="B34" s="61"/>
      <c r="C34" s="231">
        <v>1006</v>
      </c>
      <c r="D34" s="64">
        <v>40221</v>
      </c>
      <c r="E34" s="64"/>
      <c r="F34" s="231">
        <f t="shared" ca="1" si="0"/>
        <v>12</v>
      </c>
      <c r="G34" s="231">
        <f t="shared" ca="1" si="1"/>
        <v>12</v>
      </c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62"/>
      <c r="W34" s="7"/>
      <c r="X34" s="7"/>
      <c r="Z34" s="227" t="s">
        <v>1352</v>
      </c>
      <c r="AA34" s="228" t="b">
        <f>ISBLANK(Y21)</f>
        <v>1</v>
      </c>
    </row>
    <row r="35" spans="2:27" ht="15" customHeight="1">
      <c r="B35" s="61"/>
      <c r="C35" s="231">
        <v>1007</v>
      </c>
      <c r="D35" s="64">
        <v>39384</v>
      </c>
      <c r="E35" s="64">
        <v>40947</v>
      </c>
      <c r="F35" s="231">
        <f t="shared" ca="1" si="0"/>
        <v>4</v>
      </c>
      <c r="G35" s="231">
        <f t="shared" ca="1" si="1"/>
        <v>4</v>
      </c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62"/>
      <c r="W35" s="7"/>
      <c r="X35" s="7"/>
    </row>
    <row r="36" spans="2:27" ht="15" customHeight="1">
      <c r="B36" s="61"/>
      <c r="C36" s="231">
        <v>1008</v>
      </c>
      <c r="D36" s="64">
        <v>40626</v>
      </c>
      <c r="E36" s="64"/>
      <c r="F36" s="231">
        <f t="shared" ca="1" si="0"/>
        <v>11</v>
      </c>
      <c r="G36" s="231">
        <f t="shared" ca="1" si="1"/>
        <v>11</v>
      </c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62"/>
      <c r="W36" s="7"/>
      <c r="X36" s="7"/>
    </row>
    <row r="37" spans="2:27" ht="15" customHeight="1">
      <c r="B37" s="61"/>
      <c r="C37" s="231">
        <v>1009</v>
      </c>
      <c r="D37" s="64">
        <v>37499</v>
      </c>
      <c r="E37" s="64">
        <v>42396</v>
      </c>
      <c r="F37" s="231">
        <f t="shared" ca="1" si="0"/>
        <v>13</v>
      </c>
      <c r="G37" s="231">
        <f t="shared" ca="1" si="1"/>
        <v>13</v>
      </c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62"/>
      <c r="W37" s="7"/>
      <c r="X37" s="7"/>
    </row>
    <row r="38" spans="2:27" ht="15" customHeight="1">
      <c r="B38" s="61"/>
      <c r="C38" s="231">
        <v>1010</v>
      </c>
      <c r="D38" s="64">
        <v>43333</v>
      </c>
      <c r="E38" s="64"/>
      <c r="F38" s="231">
        <f t="shared" ca="1" si="0"/>
        <v>3</v>
      </c>
      <c r="G38" s="231">
        <f t="shared" ca="1" si="1"/>
        <v>3</v>
      </c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62"/>
      <c r="W38" s="7"/>
      <c r="X38" s="7"/>
    </row>
    <row r="39" spans="2:27" ht="15" customHeight="1">
      <c r="B39" s="61"/>
      <c r="C39" s="231">
        <v>1011</v>
      </c>
      <c r="D39" s="64">
        <v>42302</v>
      </c>
      <c r="E39" s="64"/>
      <c r="F39" s="231">
        <f t="shared" ca="1" si="0"/>
        <v>6</v>
      </c>
      <c r="G39" s="231">
        <f t="shared" ca="1" si="1"/>
        <v>6</v>
      </c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62"/>
      <c r="W39" s="7"/>
      <c r="X39" s="7"/>
    </row>
    <row r="40" spans="2:27" ht="15" customHeight="1">
      <c r="B40" s="61"/>
      <c r="C40" s="231">
        <v>1012</v>
      </c>
      <c r="D40" s="64">
        <v>41373</v>
      </c>
      <c r="E40" s="64">
        <v>43006</v>
      </c>
      <c r="F40" s="231">
        <f t="shared" ca="1" si="0"/>
        <v>4</v>
      </c>
      <c r="G40" s="231">
        <f t="shared" ca="1" si="1"/>
        <v>4</v>
      </c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62"/>
      <c r="W40" s="7"/>
      <c r="X40" s="7"/>
    </row>
    <row r="41" spans="2:27" ht="15" customHeight="1">
      <c r="B41" s="65"/>
      <c r="C41" s="66"/>
      <c r="D41" s="66"/>
      <c r="E41" s="66"/>
      <c r="F41" s="66"/>
      <c r="G41" s="66"/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  <c r="T41" s="66"/>
      <c r="U41" s="66"/>
      <c r="V41" s="66"/>
      <c r="W41" s="7"/>
      <c r="X41" s="7"/>
    </row>
    <row r="42" spans="2:27" ht="15" customHeight="1">
      <c r="X42" s="7"/>
    </row>
  </sheetData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E3FDC-AE94-44F6-83F9-71A5C73DBF76}">
  <sheetPr codeName="Planilha11"/>
  <dimension ref="A1:I10"/>
  <sheetViews>
    <sheetView topLeftCell="B1" workbookViewId="0">
      <selection activeCell="E7" sqref="E7"/>
    </sheetView>
  </sheetViews>
  <sheetFormatPr defaultRowHeight="14.4"/>
  <cols>
    <col min="1" max="1" width="82.109375" customWidth="1"/>
    <col min="3" max="3" width="44.88671875" customWidth="1"/>
    <col min="5" max="5" width="24" customWidth="1"/>
    <col min="7" max="7" width="21.5546875" bestFit="1" customWidth="1"/>
    <col min="9" max="9" width="10.6640625" bestFit="1" customWidth="1"/>
  </cols>
  <sheetData>
    <row r="1" spans="1:9" ht="15" thickBot="1">
      <c r="A1" s="179" t="s">
        <v>1356</v>
      </c>
    </row>
    <row r="2" spans="1:9">
      <c r="A2" t="s">
        <v>1357</v>
      </c>
    </row>
    <row r="6" spans="1:9" ht="15" thickBot="1"/>
    <row r="7" spans="1:9" ht="15" thickBot="1">
      <c r="A7" s="233" t="s">
        <v>55</v>
      </c>
      <c r="B7" s="234" t="s">
        <v>56</v>
      </c>
      <c r="C7" s="235" t="s">
        <v>1358</v>
      </c>
      <c r="D7" s="235" t="s">
        <v>1359</v>
      </c>
      <c r="E7" s="236" t="s">
        <v>1360</v>
      </c>
      <c r="G7" t="s">
        <v>1361</v>
      </c>
      <c r="I7" t="s">
        <v>1363</v>
      </c>
    </row>
    <row r="8" spans="1:9">
      <c r="C8">
        <v>59</v>
      </c>
      <c r="D8">
        <v>1.6</v>
      </c>
      <c r="E8" s="237">
        <f>imc(C8,D8)</f>
        <v>23.046874999999996</v>
      </c>
      <c r="G8" t="s">
        <v>1362</v>
      </c>
      <c r="I8" s="238">
        <f>ontem()</f>
        <v>44738</v>
      </c>
    </row>
    <row r="9" spans="1:9">
      <c r="I9" s="239">
        <f>retornar(25)</f>
        <v>44714</v>
      </c>
    </row>
    <row r="10" spans="1:9" ht="15" thickBot="1">
      <c r="I10" s="188" t="str">
        <f>iniciais(C7,2)</f>
        <v>Pe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CB87C-1133-4BD3-99E8-1D10E8E43C1F}">
  <sheetPr codeName="Planilha1"/>
  <dimension ref="A1:Z28"/>
  <sheetViews>
    <sheetView showGridLines="0" topLeftCell="J1" zoomScaleNormal="100" workbookViewId="0">
      <selection activeCell="W7" sqref="W7"/>
    </sheetView>
  </sheetViews>
  <sheetFormatPr defaultColWidth="9.109375" defaultRowHeight="15.6"/>
  <cols>
    <col min="1" max="1" width="9.44140625" style="169" bestFit="1" customWidth="1"/>
    <col min="2" max="2" width="12.88671875" style="169" bestFit="1" customWidth="1"/>
    <col min="3" max="3" width="9.109375" style="169"/>
    <col min="4" max="4" width="20.44140625" style="170" bestFit="1" customWidth="1"/>
    <col min="5" max="5" width="24.88671875" style="170" bestFit="1" customWidth="1"/>
    <col min="6" max="7" width="9.109375" style="169"/>
    <col min="8" max="8" width="11" style="169" customWidth="1"/>
    <col min="9" max="9" width="11.5546875" style="169" bestFit="1" customWidth="1"/>
    <col min="10" max="11" width="9.109375" style="169"/>
    <col min="12" max="12" width="11.5546875" style="169" bestFit="1" customWidth="1"/>
    <col min="13" max="13" width="9.109375" style="169"/>
    <col min="14" max="14" width="30.6640625" style="169" customWidth="1"/>
    <col min="15" max="15" width="9.109375" style="169"/>
    <col min="16" max="16" width="10.5546875" style="169" bestFit="1" customWidth="1"/>
    <col min="17" max="17" width="9.109375" style="169"/>
    <col min="18" max="18" width="11.6640625" style="169" bestFit="1" customWidth="1"/>
    <col min="19" max="21" width="9.109375" style="169"/>
    <col min="22" max="22" width="20.5546875" style="169" customWidth="1"/>
    <col min="23" max="23" width="12.109375" style="169" customWidth="1"/>
    <col min="24" max="16384" width="9.109375" style="169"/>
  </cols>
  <sheetData>
    <row r="1" spans="1:26">
      <c r="A1" s="168" t="s">
        <v>1282</v>
      </c>
    </row>
    <row r="2" spans="1:26">
      <c r="A2" s="168" t="s">
        <v>1281</v>
      </c>
    </row>
    <row r="3" spans="1:26" ht="16.2" thickBot="1">
      <c r="H3" s="169" t="s">
        <v>1280</v>
      </c>
    </row>
    <row r="4" spans="1:26">
      <c r="A4" s="171" t="s">
        <v>1162</v>
      </c>
      <c r="B4" s="171" t="s">
        <v>1279</v>
      </c>
      <c r="C4" s="171" t="s">
        <v>1278</v>
      </c>
      <c r="D4" s="172" t="s">
        <v>1277</v>
      </c>
      <c r="E4" s="172" t="s">
        <v>1276</v>
      </c>
      <c r="N4" s="289" t="s">
        <v>1411</v>
      </c>
      <c r="P4" s="290" t="s">
        <v>1141</v>
      </c>
      <c r="Q4" s="291" t="s">
        <v>1425</v>
      </c>
      <c r="R4" s="290" t="s">
        <v>1422</v>
      </c>
      <c r="S4" s="290" t="s">
        <v>1423</v>
      </c>
      <c r="T4" s="290" t="s">
        <v>1424</v>
      </c>
      <c r="V4" s="290" t="s">
        <v>1141</v>
      </c>
      <c r="W4" s="291" t="s">
        <v>1425</v>
      </c>
      <c r="X4" s="290" t="s">
        <v>1422</v>
      </c>
      <c r="Y4" s="290" t="s">
        <v>1423</v>
      </c>
      <c r="Z4" s="290" t="s">
        <v>1424</v>
      </c>
    </row>
    <row r="5" spans="1:26">
      <c r="A5" s="173">
        <v>2941</v>
      </c>
      <c r="B5" s="173" t="s">
        <v>1264</v>
      </c>
      <c r="C5" s="174" t="s">
        <v>1263</v>
      </c>
      <c r="D5" s="175">
        <v>19.37</v>
      </c>
      <c r="E5" s="240" t="e">
        <f>VLOOKUP(C5,H5:I11,2,0)</f>
        <v>#N/A</v>
      </c>
      <c r="F5" s="243">
        <f>buscar(C5,I6:I11,-1)</f>
        <v>0.08</v>
      </c>
      <c r="H5" s="177" t="s">
        <v>1274</v>
      </c>
      <c r="I5" s="177" t="s">
        <v>1275</v>
      </c>
      <c r="N5" s="169">
        <f>MATCH(Q4,V4:Z4,0)</f>
        <v>2</v>
      </c>
      <c r="P5" s="292" t="s">
        <v>1412</v>
      </c>
      <c r="Q5" s="292" t="s">
        <v>1426</v>
      </c>
      <c r="R5" s="293">
        <v>50</v>
      </c>
      <c r="S5" s="292">
        <v>11111</v>
      </c>
      <c r="T5" s="292">
        <v>10</v>
      </c>
      <c r="V5" s="292" t="s">
        <v>1412</v>
      </c>
      <c r="W5" s="292" t="str">
        <f>VLOOKUP($V5,$P$5:$T$14,MATCH(W$4,$P$4:$T$4,0),0)</f>
        <v>caixa</v>
      </c>
      <c r="X5" s="292">
        <f t="shared" ref="X5:Z5" si="0">VLOOKUP($V5,$P$5:$T$14,MATCH(X$4,$P$4:$T$4,0),0)</f>
        <v>50</v>
      </c>
      <c r="Y5" s="292">
        <f t="shared" si="0"/>
        <v>11111</v>
      </c>
      <c r="Z5" s="292">
        <f t="shared" si="0"/>
        <v>10</v>
      </c>
    </row>
    <row r="6" spans="1:26">
      <c r="A6" s="173">
        <v>6928</v>
      </c>
      <c r="B6" s="173" t="s">
        <v>1269</v>
      </c>
      <c r="C6" s="174" t="s">
        <v>1266</v>
      </c>
      <c r="D6" s="175">
        <v>25.72</v>
      </c>
      <c r="E6" s="176"/>
      <c r="H6" s="241">
        <v>0.08</v>
      </c>
      <c r="I6" s="242" t="s">
        <v>1263</v>
      </c>
      <c r="P6" s="292" t="s">
        <v>1413</v>
      </c>
      <c r="Q6" s="292" t="s">
        <v>1426</v>
      </c>
      <c r="R6" s="293">
        <v>100</v>
      </c>
      <c r="S6" s="292">
        <v>11111</v>
      </c>
      <c r="T6" s="292">
        <v>20</v>
      </c>
      <c r="V6" s="292" t="s">
        <v>1413</v>
      </c>
      <c r="W6" s="292"/>
      <c r="X6" s="293"/>
      <c r="Y6" s="292"/>
      <c r="Z6" s="292"/>
    </row>
    <row r="7" spans="1:26">
      <c r="A7" s="173">
        <v>5895</v>
      </c>
      <c r="B7" s="173" t="s">
        <v>1269</v>
      </c>
      <c r="C7" s="174" t="s">
        <v>1266</v>
      </c>
      <c r="D7" s="175">
        <v>42.21</v>
      </c>
      <c r="E7" s="176"/>
      <c r="H7" s="241">
        <v>0.06</v>
      </c>
      <c r="I7" s="242" t="s">
        <v>1266</v>
      </c>
      <c r="P7" s="292" t="s">
        <v>1414</v>
      </c>
      <c r="Q7" s="292" t="s">
        <v>1426</v>
      </c>
      <c r="R7" s="293">
        <v>101</v>
      </c>
      <c r="S7" s="292">
        <v>11111</v>
      </c>
      <c r="T7" s="292">
        <v>30</v>
      </c>
      <c r="V7" s="292" t="s">
        <v>1414</v>
      </c>
      <c r="W7" s="292" t="str" cm="1">
        <f t="array" ref="W7">buscar($V7,P4:R14,0)</f>
        <v>ITEM 3</v>
      </c>
      <c r="X7" s="293"/>
      <c r="Y7" s="292"/>
      <c r="Z7" s="292"/>
    </row>
    <row r="8" spans="1:26">
      <c r="A8" s="173">
        <v>5215</v>
      </c>
      <c r="B8" s="173" t="s">
        <v>1269</v>
      </c>
      <c r="C8" s="174" t="s">
        <v>1268</v>
      </c>
      <c r="D8" s="175">
        <v>98.39</v>
      </c>
      <c r="E8" s="176"/>
      <c r="H8" s="241">
        <v>0.05</v>
      </c>
      <c r="I8" s="242" t="s">
        <v>1268</v>
      </c>
      <c r="P8" s="292" t="s">
        <v>1415</v>
      </c>
      <c r="Q8" s="292" t="s">
        <v>1426</v>
      </c>
      <c r="R8" s="293">
        <v>102</v>
      </c>
      <c r="S8" s="292">
        <v>11111</v>
      </c>
      <c r="T8" s="292">
        <v>31</v>
      </c>
      <c r="V8" s="292" t="s">
        <v>1415</v>
      </c>
      <c r="W8" s="292"/>
      <c r="X8" s="293"/>
      <c r="Y8" s="292"/>
      <c r="Z8" s="292"/>
    </row>
    <row r="9" spans="1:26">
      <c r="A9" s="173">
        <v>6795</v>
      </c>
      <c r="B9" s="173" t="s">
        <v>1270</v>
      </c>
      <c r="C9" s="174" t="s">
        <v>1273</v>
      </c>
      <c r="D9" s="175">
        <v>113.89</v>
      </c>
      <c r="E9" s="176"/>
      <c r="H9" s="241">
        <v>7.0000000000000007E-2</v>
      </c>
      <c r="I9" s="242" t="s">
        <v>1273</v>
      </c>
      <c r="P9" s="292" t="s">
        <v>1416</v>
      </c>
      <c r="Q9" s="292" t="s">
        <v>1426</v>
      </c>
      <c r="R9" s="293">
        <v>103</v>
      </c>
      <c r="S9" s="292">
        <v>11111</v>
      </c>
      <c r="T9" s="292">
        <v>32</v>
      </c>
      <c r="V9" s="292" t="s">
        <v>1416</v>
      </c>
      <c r="W9" s="292"/>
      <c r="X9" s="293"/>
      <c r="Y9" s="292"/>
      <c r="Z9" s="292"/>
    </row>
    <row r="10" spans="1:26">
      <c r="A10" s="173">
        <v>2900</v>
      </c>
      <c r="B10" s="173" t="s">
        <v>1267</v>
      </c>
      <c r="C10" s="174" t="s">
        <v>1272</v>
      </c>
      <c r="D10" s="175">
        <v>123.96</v>
      </c>
      <c r="E10" s="176"/>
      <c r="H10" s="241">
        <v>0.08</v>
      </c>
      <c r="I10" s="242" t="s">
        <v>1265</v>
      </c>
      <c r="P10" s="292" t="s">
        <v>1417</v>
      </c>
      <c r="Q10" s="292" t="s">
        <v>1426</v>
      </c>
      <c r="R10" s="293">
        <v>104</v>
      </c>
      <c r="S10" s="292">
        <v>11111</v>
      </c>
      <c r="T10" s="292">
        <v>33</v>
      </c>
      <c r="V10" s="292" t="s">
        <v>1417</v>
      </c>
      <c r="W10" s="292"/>
      <c r="X10" s="293"/>
      <c r="Y10" s="292"/>
      <c r="Z10" s="292"/>
    </row>
    <row r="11" spans="1:26">
      <c r="A11" s="173">
        <v>3676</v>
      </c>
      <c r="B11" s="173" t="s">
        <v>1264</v>
      </c>
      <c r="C11" s="174" t="s">
        <v>1265</v>
      </c>
      <c r="D11" s="175">
        <v>143.58000000000001</v>
      </c>
      <c r="E11" s="176"/>
      <c r="H11" s="241">
        <v>7.0000000000000007E-2</v>
      </c>
      <c r="I11" s="242" t="s">
        <v>1261</v>
      </c>
      <c r="P11" s="292" t="s">
        <v>1418</v>
      </c>
      <c r="Q11" s="292" t="s">
        <v>1426</v>
      </c>
      <c r="R11" s="293">
        <v>105</v>
      </c>
      <c r="S11" s="292">
        <v>11111</v>
      </c>
      <c r="T11" s="292">
        <v>34</v>
      </c>
      <c r="V11" s="292" t="s">
        <v>1418</v>
      </c>
      <c r="W11" s="292"/>
      <c r="X11" s="293"/>
      <c r="Y11" s="292"/>
      <c r="Z11" s="292"/>
    </row>
    <row r="12" spans="1:26">
      <c r="A12" s="173">
        <v>1477</v>
      </c>
      <c r="B12" s="173" t="s">
        <v>1262</v>
      </c>
      <c r="C12" s="174" t="s">
        <v>1263</v>
      </c>
      <c r="D12" s="175">
        <v>210.23</v>
      </c>
      <c r="E12" s="176"/>
      <c r="P12" s="292" t="s">
        <v>1419</v>
      </c>
      <c r="Q12" s="292" t="s">
        <v>1426</v>
      </c>
      <c r="R12" s="293">
        <v>106</v>
      </c>
      <c r="S12" s="292">
        <v>11111</v>
      </c>
      <c r="T12" s="292">
        <v>35</v>
      </c>
      <c r="V12" s="292" t="s">
        <v>1419</v>
      </c>
      <c r="W12" s="292"/>
      <c r="X12" s="293"/>
      <c r="Y12" s="292"/>
      <c r="Z12" s="292"/>
    </row>
    <row r="13" spans="1:26">
      <c r="A13" s="173">
        <v>683</v>
      </c>
      <c r="B13" s="173" t="s">
        <v>1269</v>
      </c>
      <c r="C13" s="174" t="s">
        <v>1268</v>
      </c>
      <c r="D13" s="175">
        <v>231.48</v>
      </c>
      <c r="E13" s="176"/>
      <c r="P13" s="292" t="s">
        <v>1420</v>
      </c>
      <c r="Q13" s="292" t="s">
        <v>1426</v>
      </c>
      <c r="R13" s="293">
        <v>107</v>
      </c>
      <c r="S13" s="292">
        <v>11111</v>
      </c>
      <c r="T13" s="292">
        <v>36</v>
      </c>
      <c r="V13" s="292" t="s">
        <v>1420</v>
      </c>
      <c r="W13" s="292"/>
      <c r="X13" s="293"/>
      <c r="Y13" s="292"/>
      <c r="Z13" s="292"/>
    </row>
    <row r="14" spans="1:26">
      <c r="A14" s="173">
        <v>4895</v>
      </c>
      <c r="B14" s="173" t="s">
        <v>1262</v>
      </c>
      <c r="C14" s="174" t="s">
        <v>1261</v>
      </c>
      <c r="D14" s="175">
        <v>239.36</v>
      </c>
      <c r="E14" s="176"/>
      <c r="P14" s="292" t="s">
        <v>1421</v>
      </c>
      <c r="Q14" s="292" t="s">
        <v>1426</v>
      </c>
      <c r="R14" s="293">
        <v>108</v>
      </c>
      <c r="S14" s="292">
        <v>11111</v>
      </c>
      <c r="T14" s="292">
        <v>37</v>
      </c>
      <c r="V14" s="292" t="s">
        <v>1421</v>
      </c>
      <c r="W14" s="292"/>
      <c r="X14" s="293"/>
      <c r="Y14" s="292"/>
      <c r="Z14" s="292"/>
    </row>
    <row r="15" spans="1:26">
      <c r="A15" s="173">
        <v>4235</v>
      </c>
      <c r="B15" s="173" t="s">
        <v>1267</v>
      </c>
      <c r="C15" s="174" t="s">
        <v>1272</v>
      </c>
      <c r="D15" s="175">
        <v>252.2</v>
      </c>
      <c r="E15" s="176"/>
    </row>
    <row r="16" spans="1:26">
      <c r="A16" s="173">
        <v>7901</v>
      </c>
      <c r="B16" s="173" t="s">
        <v>1262</v>
      </c>
      <c r="C16" s="174" t="s">
        <v>1271</v>
      </c>
      <c r="D16" s="175">
        <v>271.81</v>
      </c>
      <c r="E16" s="176"/>
      <c r="H16" s="178"/>
      <c r="I16" s="178"/>
    </row>
    <row r="17" spans="1:5">
      <c r="A17" s="173">
        <v>7529</v>
      </c>
      <c r="B17" s="173" t="s">
        <v>1269</v>
      </c>
      <c r="C17" s="174" t="s">
        <v>1268</v>
      </c>
      <c r="D17" s="175">
        <v>273.07</v>
      </c>
      <c r="E17" s="176"/>
    </row>
    <row r="18" spans="1:5">
      <c r="A18" s="173">
        <v>821</v>
      </c>
      <c r="B18" s="173" t="s">
        <v>1270</v>
      </c>
      <c r="C18" s="174" t="s">
        <v>1261</v>
      </c>
      <c r="D18" s="175">
        <v>280.72000000000003</v>
      </c>
      <c r="E18" s="176"/>
    </row>
    <row r="19" spans="1:5">
      <c r="A19" s="173">
        <v>496</v>
      </c>
      <c r="B19" s="173" t="s">
        <v>1267</v>
      </c>
      <c r="C19" s="174" t="s">
        <v>1263</v>
      </c>
      <c r="D19" s="175">
        <v>281.29000000000002</v>
      </c>
      <c r="E19" s="176"/>
    </row>
    <row r="20" spans="1:5">
      <c r="A20" s="173">
        <v>5426</v>
      </c>
      <c r="B20" s="173" t="s">
        <v>1269</v>
      </c>
      <c r="C20" s="174" t="s">
        <v>1268</v>
      </c>
      <c r="D20" s="175">
        <v>303.38</v>
      </c>
      <c r="E20" s="176"/>
    </row>
    <row r="21" spans="1:5">
      <c r="A21" s="173">
        <v>9689</v>
      </c>
      <c r="B21" s="173" t="s">
        <v>1264</v>
      </c>
      <c r="C21" s="174" t="s">
        <v>1263</v>
      </c>
      <c r="D21" s="175">
        <v>304.86</v>
      </c>
      <c r="E21" s="176"/>
    </row>
    <row r="22" spans="1:5">
      <c r="A22" s="173">
        <v>8406</v>
      </c>
      <c r="B22" s="173" t="s">
        <v>1267</v>
      </c>
      <c r="C22" s="174" t="s">
        <v>1266</v>
      </c>
      <c r="D22" s="175">
        <v>340.62</v>
      </c>
      <c r="E22" s="176"/>
    </row>
    <row r="23" spans="1:5">
      <c r="A23" s="173">
        <v>4653</v>
      </c>
      <c r="B23" s="173" t="s">
        <v>1262</v>
      </c>
      <c r="C23" s="174" t="s">
        <v>1263</v>
      </c>
      <c r="D23" s="175">
        <v>355.92</v>
      </c>
      <c r="E23" s="176"/>
    </row>
    <row r="24" spans="1:5">
      <c r="A24" s="173">
        <v>2563</v>
      </c>
      <c r="B24" s="173" t="s">
        <v>1264</v>
      </c>
      <c r="C24" s="174" t="s">
        <v>1265</v>
      </c>
      <c r="D24" s="175">
        <v>369.63</v>
      </c>
      <c r="E24" s="176"/>
    </row>
    <row r="25" spans="1:5">
      <c r="A25" s="173">
        <v>1683</v>
      </c>
      <c r="B25" s="173" t="s">
        <v>1262</v>
      </c>
      <c r="C25" s="174" t="s">
        <v>1263</v>
      </c>
      <c r="D25" s="175">
        <v>374.12</v>
      </c>
      <c r="E25" s="176"/>
    </row>
    <row r="26" spans="1:5">
      <c r="A26" s="173">
        <v>2113</v>
      </c>
      <c r="B26" s="173" t="s">
        <v>1262</v>
      </c>
      <c r="C26" s="174" t="s">
        <v>1261</v>
      </c>
      <c r="D26" s="175">
        <v>383.88</v>
      </c>
      <c r="E26" s="176"/>
    </row>
    <row r="27" spans="1:5">
      <c r="A27" s="173">
        <v>1289</v>
      </c>
      <c r="B27" s="173" t="s">
        <v>1264</v>
      </c>
      <c r="C27" s="174" t="s">
        <v>1263</v>
      </c>
      <c r="D27" s="175">
        <v>391.53</v>
      </c>
      <c r="E27" s="176"/>
    </row>
    <row r="28" spans="1:5">
      <c r="A28" s="173">
        <v>3759</v>
      </c>
      <c r="B28" s="173" t="s">
        <v>1262</v>
      </c>
      <c r="C28" s="174" t="s">
        <v>1261</v>
      </c>
      <c r="D28" s="175">
        <v>395.71</v>
      </c>
      <c r="E28" s="176"/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B59D8-57BA-4BF7-BEB9-7314777A4CFD}">
  <sheetPr codeName="Planilha22"/>
  <dimension ref="B2:U51"/>
  <sheetViews>
    <sheetView showGridLines="0" tabSelected="1" topLeftCell="B25" zoomScaleNormal="100" workbookViewId="0">
      <selection activeCell="F29" sqref="F29"/>
    </sheetView>
  </sheetViews>
  <sheetFormatPr defaultColWidth="9.109375" defaultRowHeight="15" customHeight="1"/>
  <cols>
    <col min="1" max="2" width="1.6640625" style="5" customWidth="1"/>
    <col min="3" max="7" width="10.6640625" style="5" customWidth="1"/>
    <col min="8" max="9" width="9.109375" style="5"/>
    <col min="10" max="18" width="10.6640625" style="5" customWidth="1"/>
    <col min="19" max="19" width="9.109375" style="5"/>
    <col min="20" max="20" width="1.6640625" style="5" customWidth="1"/>
    <col min="21" max="16384" width="9.109375" style="5"/>
  </cols>
  <sheetData>
    <row r="2" spans="2:20" ht="15" customHeight="1">
      <c r="B2" s="1"/>
      <c r="C2" s="2" t="s">
        <v>0</v>
      </c>
      <c r="D2" s="3"/>
      <c r="E2" s="3"/>
      <c r="F2" s="2" t="s">
        <v>1</v>
      </c>
      <c r="G2" s="3"/>
      <c r="H2" s="3"/>
      <c r="I2" s="2" t="s">
        <v>2</v>
      </c>
      <c r="J2" s="2" t="s">
        <v>3</v>
      </c>
      <c r="K2" s="3"/>
      <c r="L2" s="3"/>
      <c r="M2" s="3"/>
      <c r="N2" s="2" t="s">
        <v>4</v>
      </c>
      <c r="O2" s="3"/>
      <c r="P2" s="3"/>
      <c r="Q2" s="3"/>
      <c r="R2" s="3"/>
      <c r="S2" s="2" t="s">
        <v>5</v>
      </c>
      <c r="T2" s="4"/>
    </row>
    <row r="3" spans="2:20" ht="15" customHeight="1">
      <c r="B3" s="6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8"/>
    </row>
    <row r="4" spans="2:20" ht="15" customHeight="1">
      <c r="B4" s="6"/>
      <c r="C4" s="9" t="s">
        <v>6</v>
      </c>
      <c r="D4" s="10" t="s">
        <v>7</v>
      </c>
      <c r="E4" s="7" t="s">
        <v>8</v>
      </c>
      <c r="F4" s="7"/>
      <c r="G4" s="7"/>
      <c r="H4" s="7"/>
      <c r="I4" s="7"/>
      <c r="J4" s="7"/>
      <c r="K4" s="11" t="s">
        <v>9</v>
      </c>
      <c r="N4" s="7"/>
      <c r="O4" s="7"/>
      <c r="P4" s="7"/>
      <c r="Q4" s="7"/>
      <c r="R4" s="7"/>
      <c r="S4" s="7"/>
      <c r="T4" s="8"/>
    </row>
    <row r="5" spans="2:20" ht="15" customHeight="1">
      <c r="B5" s="6"/>
      <c r="C5" s="9" t="s">
        <v>10</v>
      </c>
      <c r="D5" s="12" t="s">
        <v>11</v>
      </c>
      <c r="E5" s="7"/>
      <c r="F5" s="7"/>
      <c r="G5" s="7"/>
      <c r="H5" s="7"/>
      <c r="I5" s="7"/>
      <c r="J5" s="7"/>
      <c r="K5" s="11" t="s">
        <v>12</v>
      </c>
      <c r="M5" s="7"/>
      <c r="N5" s="7"/>
      <c r="O5" s="7"/>
      <c r="P5" s="7"/>
      <c r="Q5" s="7"/>
      <c r="R5" s="7"/>
      <c r="S5" s="7"/>
      <c r="T5" s="8"/>
    </row>
    <row r="6" spans="2:20" ht="15" customHeight="1">
      <c r="B6" s="6"/>
      <c r="C6" s="7"/>
      <c r="D6" s="7"/>
      <c r="E6" s="7"/>
      <c r="F6" s="7"/>
      <c r="G6" s="7"/>
      <c r="H6" s="7"/>
      <c r="I6" s="7"/>
      <c r="J6" s="7"/>
      <c r="K6" s="11" t="s">
        <v>13</v>
      </c>
      <c r="M6" s="7"/>
      <c r="N6" s="7"/>
      <c r="O6" s="7"/>
      <c r="P6" s="7"/>
      <c r="Q6" s="7"/>
      <c r="R6" s="7"/>
      <c r="S6" s="7"/>
      <c r="T6" s="8"/>
    </row>
    <row r="7" spans="2:20" ht="15" customHeight="1">
      <c r="B7" s="13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5"/>
    </row>
    <row r="8" spans="2:20" ht="15" customHeight="1">
      <c r="B8" s="6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8"/>
    </row>
    <row r="9" spans="2:20" ht="15" customHeight="1">
      <c r="B9" s="6"/>
      <c r="C9" s="16" t="s">
        <v>14</v>
      </c>
      <c r="E9" s="7"/>
      <c r="F9" s="7"/>
      <c r="G9" s="7"/>
      <c r="H9" s="7"/>
      <c r="I9" s="7"/>
      <c r="J9" s="16" t="s">
        <v>15</v>
      </c>
      <c r="K9" s="7"/>
      <c r="L9" s="7"/>
      <c r="M9" s="7"/>
      <c r="O9" s="7"/>
      <c r="P9" s="7"/>
      <c r="Q9" s="7"/>
      <c r="R9" s="7"/>
      <c r="S9" s="7"/>
      <c r="T9" s="8"/>
    </row>
    <row r="10" spans="2:20" ht="15" customHeight="1">
      <c r="B10" s="6"/>
      <c r="C10" s="7" t="s">
        <v>16</v>
      </c>
      <c r="E10" s="7"/>
      <c r="F10" s="7"/>
      <c r="G10" s="7"/>
      <c r="H10" s="7"/>
      <c r="I10" s="7"/>
      <c r="J10" s="7" t="s">
        <v>16</v>
      </c>
      <c r="L10" s="7"/>
      <c r="M10" s="7"/>
      <c r="O10" s="7"/>
      <c r="P10" s="7"/>
      <c r="Q10" s="7"/>
      <c r="R10" s="7"/>
      <c r="S10" s="7"/>
      <c r="T10" s="8"/>
    </row>
    <row r="11" spans="2:20" ht="15" customHeight="1">
      <c r="B11" s="6"/>
      <c r="C11" s="7" t="s">
        <v>17</v>
      </c>
      <c r="E11" s="7"/>
      <c r="F11" s="7"/>
      <c r="G11" s="7"/>
      <c r="H11" s="7"/>
      <c r="I11" s="7"/>
      <c r="J11" s="7" t="s">
        <v>17</v>
      </c>
      <c r="L11" s="7"/>
      <c r="M11" s="7"/>
      <c r="O11" s="7"/>
      <c r="P11" s="7"/>
      <c r="Q11" s="7"/>
      <c r="R11" s="7"/>
      <c r="S11" s="7"/>
      <c r="T11" s="8"/>
    </row>
    <row r="12" spans="2:20" ht="15" customHeight="1">
      <c r="B12" s="6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O12" s="7"/>
      <c r="P12" s="7"/>
      <c r="Q12" s="7"/>
      <c r="R12" s="7"/>
      <c r="S12" s="7"/>
      <c r="T12" s="8"/>
    </row>
    <row r="13" spans="2:20" ht="15" customHeight="1">
      <c r="B13" s="6"/>
      <c r="C13" s="17" t="s">
        <v>18</v>
      </c>
      <c r="D13" s="17" t="s">
        <v>19</v>
      </c>
      <c r="E13" s="17" t="s">
        <v>20</v>
      </c>
      <c r="F13" s="18" t="s">
        <v>21</v>
      </c>
      <c r="G13" s="19" t="s">
        <v>22</v>
      </c>
      <c r="H13" s="7"/>
      <c r="I13" s="7"/>
      <c r="J13" s="17" t="s">
        <v>18</v>
      </c>
      <c r="K13" s="17" t="s">
        <v>19</v>
      </c>
      <c r="L13" s="17" t="s">
        <v>20</v>
      </c>
      <c r="M13" s="19" t="s">
        <v>22</v>
      </c>
      <c r="P13" s="7"/>
      <c r="Q13" s="7"/>
      <c r="R13" s="7"/>
      <c r="S13" s="7"/>
      <c r="T13" s="8"/>
    </row>
    <row r="14" spans="2:20" ht="15" customHeight="1">
      <c r="B14" s="6"/>
      <c r="C14" s="20">
        <v>1001</v>
      </c>
      <c r="D14" s="21">
        <v>2900</v>
      </c>
      <c r="E14" s="22">
        <v>44264</v>
      </c>
      <c r="F14" s="23">
        <f ca="1">TODAY()</f>
        <v>44739</v>
      </c>
      <c r="G14" s="24" t="str">
        <f ca="1">IF(E14&lt;F14,"Vencido","A vencer")</f>
        <v>Vencido</v>
      </c>
      <c r="H14" s="7"/>
      <c r="I14" s="7"/>
      <c r="J14" s="20">
        <v>1001</v>
      </c>
      <c r="K14" s="21">
        <v>2900</v>
      </c>
      <c r="L14" s="22">
        <v>44264</v>
      </c>
      <c r="M14" s="24" t="str">
        <f ca="1">IF(L14&lt;TODAY(),"Vencido","A vencer")</f>
        <v>Vencido</v>
      </c>
      <c r="P14" s="7"/>
      <c r="Q14" s="7"/>
      <c r="R14" s="7"/>
      <c r="S14" s="7"/>
      <c r="T14" s="8"/>
    </row>
    <row r="15" spans="2:20" ht="15" customHeight="1">
      <c r="B15" s="6"/>
      <c r="C15" s="20">
        <v>1002</v>
      </c>
      <c r="D15" s="21">
        <v>3051</v>
      </c>
      <c r="E15" s="22">
        <v>44269</v>
      </c>
      <c r="F15" s="23">
        <f t="shared" ref="F15:F20" ca="1" si="0">TODAY()</f>
        <v>44739</v>
      </c>
      <c r="G15" s="24" t="str">
        <f t="shared" ref="G15:G20" ca="1" si="1">IF(E15&lt;F15,"Vencido","A vencer")</f>
        <v>Vencido</v>
      </c>
      <c r="H15" s="7"/>
      <c r="I15" s="7"/>
      <c r="J15" s="20">
        <v>1002</v>
      </c>
      <c r="K15" s="21">
        <v>3051</v>
      </c>
      <c r="L15" s="22">
        <v>44269</v>
      </c>
      <c r="M15" s="24" t="str">
        <f t="shared" ref="M15:M20" ca="1" si="2">IF(L15&lt;TODAY(),"Vencido","A vencer")</f>
        <v>Vencido</v>
      </c>
      <c r="P15" s="7"/>
      <c r="Q15" s="7"/>
      <c r="R15" s="7"/>
      <c r="S15" s="7"/>
      <c r="T15" s="8"/>
    </row>
    <row r="16" spans="2:20" ht="15" customHeight="1">
      <c r="B16" s="6"/>
      <c r="C16" s="20">
        <v>1003</v>
      </c>
      <c r="D16" s="21">
        <v>1855</v>
      </c>
      <c r="E16" s="22">
        <v>44250</v>
      </c>
      <c r="F16" s="23">
        <f t="shared" ca="1" si="0"/>
        <v>44739</v>
      </c>
      <c r="G16" s="24" t="str">
        <f t="shared" ca="1" si="1"/>
        <v>Vencido</v>
      </c>
      <c r="H16" s="7"/>
      <c r="I16" s="7"/>
      <c r="J16" s="20">
        <v>1003</v>
      </c>
      <c r="K16" s="21">
        <v>1855</v>
      </c>
      <c r="L16" s="22">
        <v>44250</v>
      </c>
      <c r="M16" s="24" t="str">
        <f t="shared" ca="1" si="2"/>
        <v>Vencido</v>
      </c>
      <c r="P16" s="7"/>
      <c r="Q16" s="7"/>
      <c r="R16" s="7"/>
      <c r="S16" s="7"/>
      <c r="T16" s="8"/>
    </row>
    <row r="17" spans="2:21" ht="15" customHeight="1">
      <c r="B17" s="6"/>
      <c r="C17" s="20">
        <v>1004</v>
      </c>
      <c r="D17" s="21">
        <v>4619</v>
      </c>
      <c r="E17" s="22">
        <v>44246</v>
      </c>
      <c r="F17" s="23">
        <f t="shared" ca="1" si="0"/>
        <v>44739</v>
      </c>
      <c r="G17" s="24" t="str">
        <f t="shared" ca="1" si="1"/>
        <v>Vencido</v>
      </c>
      <c r="H17" s="7"/>
      <c r="I17" s="7"/>
      <c r="J17" s="20">
        <v>1004</v>
      </c>
      <c r="K17" s="21">
        <v>4619</v>
      </c>
      <c r="L17" s="22">
        <v>44246</v>
      </c>
      <c r="M17" s="24" t="str">
        <f t="shared" ca="1" si="2"/>
        <v>Vencido</v>
      </c>
      <c r="P17" s="7"/>
      <c r="Q17" s="7"/>
      <c r="R17" s="7"/>
      <c r="S17" s="7"/>
      <c r="T17" s="8"/>
    </row>
    <row r="18" spans="2:21" ht="15" customHeight="1">
      <c r="B18" s="6"/>
      <c r="C18" s="20">
        <v>1005</v>
      </c>
      <c r="D18" s="21">
        <v>4030</v>
      </c>
      <c r="E18" s="22">
        <v>44268</v>
      </c>
      <c r="F18" s="23">
        <f t="shared" ca="1" si="0"/>
        <v>44739</v>
      </c>
      <c r="G18" s="24" t="str">
        <f t="shared" ca="1" si="1"/>
        <v>Vencido</v>
      </c>
      <c r="H18" s="7"/>
      <c r="I18" s="7"/>
      <c r="J18" s="20">
        <v>1005</v>
      </c>
      <c r="K18" s="21">
        <v>4030</v>
      </c>
      <c r="L18" s="22">
        <v>44268</v>
      </c>
      <c r="M18" s="24" t="str">
        <f t="shared" ca="1" si="2"/>
        <v>Vencido</v>
      </c>
      <c r="P18" s="7"/>
      <c r="Q18" s="7"/>
      <c r="R18" s="7"/>
      <c r="S18" s="7"/>
      <c r="T18" s="8"/>
    </row>
    <row r="19" spans="2:21" ht="15" customHeight="1">
      <c r="B19" s="6"/>
      <c r="C19" s="20">
        <v>1006</v>
      </c>
      <c r="D19" s="21">
        <v>4107</v>
      </c>
      <c r="E19" s="22">
        <v>44251</v>
      </c>
      <c r="F19" s="23">
        <f t="shared" ca="1" si="0"/>
        <v>44739</v>
      </c>
      <c r="G19" s="24" t="str">
        <f t="shared" ca="1" si="1"/>
        <v>Vencido</v>
      </c>
      <c r="H19" s="7"/>
      <c r="I19" s="7"/>
      <c r="J19" s="20">
        <v>1006</v>
      </c>
      <c r="K19" s="21">
        <v>4107</v>
      </c>
      <c r="L19" s="22">
        <v>44251</v>
      </c>
      <c r="M19" s="24" t="str">
        <f t="shared" ca="1" si="2"/>
        <v>Vencido</v>
      </c>
      <c r="P19" s="7"/>
      <c r="Q19" s="7"/>
      <c r="R19" s="7"/>
      <c r="S19" s="7"/>
      <c r="T19" s="8"/>
    </row>
    <row r="20" spans="2:21" ht="15" customHeight="1">
      <c r="B20" s="6"/>
      <c r="C20" s="20">
        <v>1007</v>
      </c>
      <c r="D20" s="21">
        <v>4297</v>
      </c>
      <c r="E20" s="22">
        <v>44274</v>
      </c>
      <c r="F20" s="23">
        <f t="shared" ca="1" si="0"/>
        <v>44739</v>
      </c>
      <c r="G20" s="24" t="str">
        <f t="shared" ca="1" si="1"/>
        <v>Vencido</v>
      </c>
      <c r="H20" s="7"/>
      <c r="I20" s="7"/>
      <c r="J20" s="20">
        <v>1007</v>
      </c>
      <c r="K20" s="21">
        <v>4297</v>
      </c>
      <c r="L20" s="22">
        <v>44274</v>
      </c>
      <c r="M20" s="24" t="str">
        <f t="shared" ca="1" si="2"/>
        <v>Vencido</v>
      </c>
      <c r="P20" s="7"/>
      <c r="Q20" s="7"/>
      <c r="R20" s="7"/>
      <c r="S20" s="7"/>
      <c r="T20" s="8"/>
    </row>
    <row r="21" spans="2:21" ht="15" customHeight="1">
      <c r="B21" s="25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7"/>
    </row>
    <row r="23" spans="2:21" ht="15" customHeight="1">
      <c r="B23" s="28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30"/>
    </row>
    <row r="24" spans="2:21" ht="15" customHeight="1">
      <c r="B24" s="6"/>
      <c r="C24" s="16" t="s">
        <v>23</v>
      </c>
      <c r="D24" s="7"/>
      <c r="E24" s="7"/>
      <c r="F24" s="7"/>
      <c r="H24" s="7"/>
      <c r="I24" s="7"/>
      <c r="J24" s="16" t="s">
        <v>24</v>
      </c>
      <c r="L24" s="7"/>
      <c r="M24" s="7"/>
      <c r="N24" s="7"/>
      <c r="O24" s="16" t="s">
        <v>25</v>
      </c>
      <c r="Q24" s="7"/>
      <c r="T24" s="31"/>
    </row>
    <row r="25" spans="2:21" ht="15" customHeight="1">
      <c r="B25" s="6"/>
      <c r="C25" s="7" t="s">
        <v>16</v>
      </c>
      <c r="E25" s="7"/>
      <c r="F25" s="7"/>
      <c r="H25" s="7"/>
      <c r="I25" s="7"/>
      <c r="J25" s="7" t="s">
        <v>26</v>
      </c>
      <c r="L25" s="7"/>
      <c r="M25" s="7"/>
      <c r="N25" s="7"/>
      <c r="O25" s="7" t="s">
        <v>26</v>
      </c>
      <c r="Q25" s="7"/>
      <c r="T25" s="31"/>
    </row>
    <row r="26" spans="2:21" ht="15" customHeight="1">
      <c r="B26" s="6"/>
      <c r="C26" s="7" t="s">
        <v>17</v>
      </c>
      <c r="E26" s="7"/>
      <c r="F26" s="7"/>
      <c r="H26" s="7"/>
      <c r="I26" s="7"/>
      <c r="J26" s="7" t="s">
        <v>27</v>
      </c>
      <c r="L26" s="7"/>
      <c r="M26" s="7"/>
      <c r="N26" s="7"/>
      <c r="O26" s="7" t="s">
        <v>28</v>
      </c>
      <c r="Q26" s="7"/>
      <c r="T26" s="31"/>
    </row>
    <row r="27" spans="2:21" ht="15" customHeight="1">
      <c r="B27" s="6"/>
      <c r="C27" s="7"/>
      <c r="D27" s="7"/>
      <c r="E27" s="7"/>
      <c r="F27" s="7"/>
      <c r="H27" s="7"/>
      <c r="I27" s="7"/>
      <c r="J27" s="7"/>
      <c r="K27" s="7"/>
      <c r="L27" s="7"/>
      <c r="M27" s="7"/>
      <c r="N27" s="7"/>
      <c r="O27" s="7"/>
      <c r="P27" s="7"/>
      <c r="Q27" s="7"/>
      <c r="T27" s="31"/>
    </row>
    <row r="28" spans="2:21" ht="15" customHeight="1">
      <c r="B28" s="6"/>
      <c r="C28" s="17" t="s">
        <v>18</v>
      </c>
      <c r="D28" s="17" t="s">
        <v>19</v>
      </c>
      <c r="E28" s="17" t="s">
        <v>20</v>
      </c>
      <c r="F28" s="19" t="s">
        <v>22</v>
      </c>
      <c r="G28" s="19" t="s">
        <v>1364</v>
      </c>
      <c r="H28" s="18" t="s">
        <v>29</v>
      </c>
      <c r="I28" s="7"/>
      <c r="J28" s="7"/>
      <c r="K28" s="17" t="s">
        <v>30</v>
      </c>
      <c r="L28" s="17" t="s">
        <v>19</v>
      </c>
      <c r="M28" s="19" t="s">
        <v>31</v>
      </c>
      <c r="N28" s="32"/>
      <c r="O28" s="32"/>
      <c r="P28" s="17" t="s">
        <v>30</v>
      </c>
      <c r="Q28" s="17" t="s">
        <v>19</v>
      </c>
      <c r="R28" s="17" t="s">
        <v>32</v>
      </c>
      <c r="S28" s="19" t="s">
        <v>31</v>
      </c>
      <c r="U28" s="31"/>
    </row>
    <row r="29" spans="2:21" ht="15" customHeight="1">
      <c r="B29" s="6"/>
      <c r="C29" s="20">
        <v>1001</v>
      </c>
      <c r="D29" s="21">
        <v>2900</v>
      </c>
      <c r="E29" s="22">
        <v>44264</v>
      </c>
      <c r="F29" s="24" t="str">
        <f t="shared" ref="F29:F35" ca="1" si="3">IF(AND(E29&lt;TODAY(),H29=""),"vencido","A vencer")</f>
        <v>vencido</v>
      </c>
      <c r="G29" s="24" t="str">
        <f ca="1">IF(H29&lt;&gt;"","pago",IF(E29&lt;TODAY(),"Vencido","A vencer"))</f>
        <v>Vencido</v>
      </c>
      <c r="H29" s="23"/>
      <c r="I29" s="7"/>
      <c r="J29" s="7"/>
      <c r="K29" s="20">
        <v>1314</v>
      </c>
      <c r="L29" s="21">
        <v>985</v>
      </c>
      <c r="M29" s="24"/>
      <c r="N29" s="32"/>
      <c r="O29" s="32"/>
      <c r="P29" s="20">
        <v>1314</v>
      </c>
      <c r="Q29" s="21">
        <v>985</v>
      </c>
      <c r="S29" s="24"/>
      <c r="U29" s="31"/>
    </row>
    <row r="30" spans="2:21" ht="15" customHeight="1">
      <c r="B30" s="6"/>
      <c r="C30" s="20">
        <v>1002</v>
      </c>
      <c r="D30" s="21">
        <v>3051</v>
      </c>
      <c r="E30" s="22">
        <v>44269</v>
      </c>
      <c r="F30" s="24" t="str">
        <f t="shared" ca="1" si="3"/>
        <v>vencido</v>
      </c>
      <c r="G30" s="24" t="str">
        <f t="shared" ref="G30:G35" ca="1" si="4">IF(H30&lt;&gt;"","pago",IF(E30&lt;TODAY(),"Vencido","A vencer"))</f>
        <v>Vencido</v>
      </c>
      <c r="H30" s="23"/>
      <c r="I30" s="7"/>
      <c r="J30" s="7"/>
      <c r="K30" s="20">
        <v>1315</v>
      </c>
      <c r="L30" s="21">
        <v>1475</v>
      </c>
      <c r="M30" s="24"/>
      <c r="N30" s="32"/>
      <c r="O30" s="32"/>
      <c r="P30" s="20">
        <v>1315</v>
      </c>
      <c r="Q30" s="21">
        <v>1475</v>
      </c>
      <c r="S30" s="24"/>
      <c r="U30" s="31"/>
    </row>
    <row r="31" spans="2:21" ht="15" customHeight="1">
      <c r="B31" s="6"/>
      <c r="C31" s="20">
        <v>1003</v>
      </c>
      <c r="D31" s="21">
        <v>1855</v>
      </c>
      <c r="E31" s="22">
        <v>44250</v>
      </c>
      <c r="F31" s="24" t="str">
        <f t="shared" ca="1" si="3"/>
        <v>A vencer</v>
      </c>
      <c r="G31" s="24" t="str">
        <f t="shared" ca="1" si="4"/>
        <v>pago</v>
      </c>
      <c r="H31" s="23">
        <v>44249</v>
      </c>
      <c r="I31" s="7"/>
      <c r="J31" s="7"/>
      <c r="K31" s="20">
        <v>1316</v>
      </c>
      <c r="L31" s="21">
        <v>813</v>
      </c>
      <c r="M31" s="24"/>
      <c r="N31" s="32"/>
      <c r="O31" s="32"/>
      <c r="P31" s="20">
        <v>1316</v>
      </c>
      <c r="Q31" s="21">
        <v>813</v>
      </c>
      <c r="S31" s="24"/>
      <c r="U31" s="31"/>
    </row>
    <row r="32" spans="2:21" ht="15" customHeight="1">
      <c r="B32" s="6"/>
      <c r="C32" s="20">
        <v>1004</v>
      </c>
      <c r="D32" s="21">
        <v>4619</v>
      </c>
      <c r="E32" s="22">
        <v>44246</v>
      </c>
      <c r="F32" s="24" t="str">
        <f t="shared" ca="1" si="3"/>
        <v>A vencer</v>
      </c>
      <c r="G32" s="24" t="str">
        <f t="shared" ca="1" si="4"/>
        <v>pago</v>
      </c>
      <c r="H32" s="23">
        <v>44247</v>
      </c>
      <c r="I32" s="7"/>
      <c r="J32" s="7"/>
      <c r="K32" s="20">
        <v>1317</v>
      </c>
      <c r="L32" s="21">
        <v>561</v>
      </c>
      <c r="M32" s="24"/>
      <c r="N32" s="32"/>
      <c r="O32" s="32"/>
      <c r="P32" s="20">
        <v>1317</v>
      </c>
      <c r="Q32" s="21">
        <v>561</v>
      </c>
      <c r="S32" s="24"/>
      <c r="U32" s="31"/>
    </row>
    <row r="33" spans="2:21" ht="15" customHeight="1">
      <c r="B33" s="6"/>
      <c r="C33" s="20">
        <v>1005</v>
      </c>
      <c r="D33" s="21">
        <v>4030</v>
      </c>
      <c r="E33" s="22">
        <v>44268</v>
      </c>
      <c r="F33" s="24" t="str">
        <f t="shared" ca="1" si="3"/>
        <v>vencido</v>
      </c>
      <c r="G33" s="24" t="str">
        <f t="shared" ca="1" si="4"/>
        <v>Vencido</v>
      </c>
      <c r="H33" s="23"/>
      <c r="I33" s="7"/>
      <c r="J33" s="7"/>
      <c r="K33" s="20">
        <v>1318</v>
      </c>
      <c r="L33" s="21">
        <v>1414</v>
      </c>
      <c r="M33" s="24"/>
      <c r="N33" s="32"/>
      <c r="O33" s="32"/>
      <c r="P33" s="20">
        <v>1318</v>
      </c>
      <c r="Q33" s="21">
        <v>1414</v>
      </c>
      <c r="S33" s="24"/>
      <c r="U33" s="31"/>
    </row>
    <row r="34" spans="2:21" ht="15" customHeight="1">
      <c r="B34" s="6"/>
      <c r="C34" s="20">
        <v>1006</v>
      </c>
      <c r="D34" s="21">
        <v>4107</v>
      </c>
      <c r="E34" s="22">
        <v>44251</v>
      </c>
      <c r="F34" s="24" t="str">
        <f t="shared" ca="1" si="3"/>
        <v>vencido</v>
      </c>
      <c r="G34" s="24" t="str">
        <f t="shared" ca="1" si="4"/>
        <v>Vencido</v>
      </c>
      <c r="H34" s="23"/>
      <c r="I34" s="7"/>
      <c r="J34" s="7"/>
      <c r="K34" s="20">
        <v>1319</v>
      </c>
      <c r="L34" s="21">
        <v>415</v>
      </c>
      <c r="M34" s="24"/>
      <c r="N34" s="32"/>
      <c r="O34" s="32"/>
      <c r="P34" s="20">
        <v>1319</v>
      </c>
      <c r="Q34" s="21">
        <v>415</v>
      </c>
      <c r="S34" s="24"/>
      <c r="U34" s="31"/>
    </row>
    <row r="35" spans="2:21" ht="15" customHeight="1">
      <c r="B35" s="6"/>
      <c r="C35" s="20">
        <v>1007</v>
      </c>
      <c r="D35" s="21">
        <v>4297</v>
      </c>
      <c r="E35" s="22">
        <v>44274</v>
      </c>
      <c r="F35" s="24" t="str">
        <f t="shared" ca="1" si="3"/>
        <v>vencido</v>
      </c>
      <c r="G35" s="24" t="str">
        <f t="shared" ca="1" si="4"/>
        <v>Vencido</v>
      </c>
      <c r="H35" s="23"/>
      <c r="I35" s="7"/>
      <c r="J35" s="7"/>
      <c r="K35" s="20">
        <v>1320</v>
      </c>
      <c r="L35" s="21">
        <v>1215</v>
      </c>
      <c r="M35" s="24"/>
      <c r="N35" s="32"/>
      <c r="O35" s="32"/>
      <c r="P35" s="20">
        <v>1320</v>
      </c>
      <c r="Q35" s="21">
        <v>1215</v>
      </c>
      <c r="S35" s="24"/>
      <c r="U35" s="31"/>
    </row>
    <row r="36" spans="2:21" ht="15" customHeight="1">
      <c r="B36" s="25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33"/>
    </row>
    <row r="38" spans="2:21" ht="15" customHeight="1">
      <c r="B38" s="28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34" t="s">
        <v>33</v>
      </c>
      <c r="N38" s="3"/>
      <c r="O38" s="3"/>
      <c r="P38" s="3"/>
      <c r="Q38" s="3"/>
      <c r="R38" s="3"/>
      <c r="S38" s="3"/>
      <c r="T38" s="3"/>
    </row>
    <row r="39" spans="2:21" ht="15" customHeight="1">
      <c r="B39" s="6"/>
      <c r="C39" s="16" t="s">
        <v>34</v>
      </c>
      <c r="D39" s="7"/>
      <c r="E39" s="7"/>
      <c r="F39" s="7"/>
      <c r="H39" s="7"/>
      <c r="I39" s="7"/>
      <c r="M39" s="35"/>
      <c r="N39" s="36"/>
      <c r="T39" s="31"/>
    </row>
    <row r="40" spans="2:21" ht="15" customHeight="1">
      <c r="B40" s="6"/>
      <c r="C40" s="7" t="s">
        <v>35</v>
      </c>
      <c r="E40" s="7"/>
      <c r="F40" s="7"/>
      <c r="H40" s="7"/>
      <c r="I40" s="7"/>
      <c r="M40" s="37" t="s">
        <v>36</v>
      </c>
      <c r="N40" s="38" t="s">
        <v>37</v>
      </c>
      <c r="O40" s="38" t="s">
        <v>38</v>
      </c>
      <c r="P40" s="39" t="s">
        <v>39</v>
      </c>
      <c r="T40" s="31"/>
    </row>
    <row r="41" spans="2:21" ht="15" customHeight="1">
      <c r="B41" s="6"/>
      <c r="C41" s="7" t="s">
        <v>40</v>
      </c>
      <c r="E41" s="7"/>
      <c r="F41" s="7"/>
      <c r="H41" s="7"/>
      <c r="I41" s="7"/>
      <c r="M41" s="40"/>
      <c r="N41" s="41"/>
      <c r="O41" s="41"/>
      <c r="P41" s="42"/>
      <c r="T41" s="31"/>
    </row>
    <row r="42" spans="2:21" ht="15" customHeight="1">
      <c r="B42" s="6"/>
      <c r="C42" s="7"/>
      <c r="D42" s="7"/>
      <c r="E42" s="7"/>
      <c r="F42" s="7"/>
      <c r="H42" s="7"/>
      <c r="I42" s="7"/>
      <c r="M42" s="43"/>
      <c r="T42" s="31"/>
    </row>
    <row r="43" spans="2:21" ht="15" customHeight="1">
      <c r="B43" s="6"/>
      <c r="C43" s="17" t="s">
        <v>41</v>
      </c>
      <c r="D43" s="17" t="s">
        <v>42</v>
      </c>
      <c r="E43" s="17" t="s">
        <v>43</v>
      </c>
      <c r="F43" s="19" t="s">
        <v>44</v>
      </c>
      <c r="G43" s="19" t="s">
        <v>45</v>
      </c>
      <c r="H43" s="19" t="s">
        <v>46</v>
      </c>
      <c r="I43" s="7"/>
      <c r="M43" s="37" t="s">
        <v>47</v>
      </c>
      <c r="N43" s="38" t="s">
        <v>48</v>
      </c>
      <c r="O43" s="38" t="s">
        <v>49</v>
      </c>
      <c r="P43" s="38" t="s">
        <v>50</v>
      </c>
      <c r="Q43" s="38" t="s">
        <v>51</v>
      </c>
      <c r="T43" s="31"/>
    </row>
    <row r="44" spans="2:21" ht="15" customHeight="1">
      <c r="B44" s="6"/>
      <c r="C44" s="20" t="s">
        <v>52</v>
      </c>
      <c r="D44" s="44">
        <v>25000</v>
      </c>
      <c r="E44" s="44">
        <v>23780</v>
      </c>
      <c r="F44" s="24"/>
      <c r="G44" s="24"/>
      <c r="H44" s="24"/>
      <c r="I44" s="7"/>
      <c r="M44" s="45"/>
      <c r="N44" s="46"/>
      <c r="O44" s="46"/>
      <c r="P44" s="47"/>
      <c r="Q44" s="47"/>
      <c r="T44" s="31"/>
    </row>
    <row r="45" spans="2:21" ht="15" customHeight="1">
      <c r="B45" s="6"/>
      <c r="C45" s="20" t="s">
        <v>53</v>
      </c>
      <c r="D45" s="44">
        <v>25000</v>
      </c>
      <c r="E45" s="44">
        <v>38532</v>
      </c>
      <c r="F45" s="24"/>
      <c r="G45" s="24"/>
      <c r="H45" s="24"/>
      <c r="I45" s="7"/>
      <c r="M45" s="43"/>
      <c r="T45" s="31"/>
    </row>
    <row r="46" spans="2:21" ht="15" customHeight="1">
      <c r="B46" s="6"/>
      <c r="C46" s="20" t="s">
        <v>54</v>
      </c>
      <c r="D46" s="44">
        <v>25000</v>
      </c>
      <c r="E46" s="44">
        <v>32178</v>
      </c>
      <c r="F46" s="24"/>
      <c r="G46" s="24"/>
      <c r="H46" s="24"/>
      <c r="I46" s="7"/>
      <c r="M46" s="37" t="s">
        <v>55</v>
      </c>
      <c r="N46" s="37" t="s">
        <v>56</v>
      </c>
      <c r="O46" s="37" t="s">
        <v>57</v>
      </c>
      <c r="P46" s="37" t="s">
        <v>58</v>
      </c>
      <c r="Q46" s="37" t="s">
        <v>56</v>
      </c>
      <c r="T46" s="31"/>
    </row>
    <row r="47" spans="2:21" ht="15" customHeight="1">
      <c r="B47" s="6"/>
      <c r="C47" s="20" t="s">
        <v>59</v>
      </c>
      <c r="D47" s="44">
        <v>25000</v>
      </c>
      <c r="E47" s="44">
        <v>41041</v>
      </c>
      <c r="F47" s="24"/>
      <c r="G47" s="24"/>
      <c r="H47" s="24"/>
      <c r="I47" s="7"/>
      <c r="M47" s="48"/>
      <c r="N47" s="47"/>
      <c r="O47" s="47"/>
      <c r="P47" s="47"/>
      <c r="Q47" s="47"/>
      <c r="T47" s="31"/>
    </row>
    <row r="48" spans="2:21" ht="15" customHeight="1">
      <c r="B48" s="6"/>
      <c r="C48" s="20" t="s">
        <v>60</v>
      </c>
      <c r="D48" s="44">
        <v>25000</v>
      </c>
      <c r="E48" s="44">
        <v>20080</v>
      </c>
      <c r="F48" s="24"/>
      <c r="G48" s="24"/>
      <c r="H48" s="24"/>
      <c r="I48" s="7"/>
      <c r="M48" s="43"/>
      <c r="T48" s="31"/>
    </row>
    <row r="49" spans="2:20" ht="15" customHeight="1">
      <c r="B49" s="6"/>
      <c r="C49" s="20" t="s">
        <v>61</v>
      </c>
      <c r="D49" s="44">
        <v>25000</v>
      </c>
      <c r="E49" s="44">
        <v>15674</v>
      </c>
      <c r="F49" s="24"/>
      <c r="G49" s="24"/>
      <c r="H49" s="24"/>
      <c r="I49" s="7"/>
      <c r="M49" s="37" t="s">
        <v>62</v>
      </c>
      <c r="N49" s="37" t="s">
        <v>63</v>
      </c>
      <c r="T49" s="31"/>
    </row>
    <row r="50" spans="2:20" ht="15" customHeight="1">
      <c r="B50" s="6"/>
      <c r="C50" s="20" t="s">
        <v>64</v>
      </c>
      <c r="D50" s="44">
        <v>25000</v>
      </c>
      <c r="E50" s="44">
        <v>45764</v>
      </c>
      <c r="F50" s="24"/>
      <c r="G50" s="24"/>
      <c r="H50" s="24"/>
      <c r="I50" s="7"/>
      <c r="M50" s="48"/>
      <c r="N50" s="47"/>
      <c r="T50" s="31"/>
    </row>
    <row r="51" spans="2:20" ht="15" customHeight="1">
      <c r="B51" s="25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49"/>
      <c r="N51" s="26"/>
      <c r="O51" s="26"/>
      <c r="P51" s="26"/>
      <c r="Q51" s="26"/>
      <c r="R51" s="26"/>
      <c r="S51" s="26"/>
      <c r="T51" s="50"/>
    </row>
  </sheetData>
  <pageMargins left="0.511811024" right="0.511811024" top="0.78740157499999996" bottom="0.78740157499999996" header="0.31496062000000002" footer="0.31496062000000002"/>
  <drawing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C222E-4F76-49BD-BF41-615280DE053F}">
  <sheetPr codeName="Planilha14"/>
  <dimension ref="B1:F15"/>
  <sheetViews>
    <sheetView zoomScaleNormal="100" workbookViewId="0">
      <selection activeCell="E8" sqref="E8"/>
    </sheetView>
  </sheetViews>
  <sheetFormatPr defaultColWidth="9.6640625" defaultRowHeight="18" customHeight="1"/>
  <cols>
    <col min="1" max="1" width="3.44140625" style="111" customWidth="1"/>
    <col min="2" max="4" width="15.6640625" style="111" customWidth="1"/>
    <col min="5" max="5" width="17" style="111" bestFit="1" customWidth="1"/>
    <col min="6" max="6" width="11.44140625" style="111" bestFit="1" customWidth="1"/>
    <col min="7" max="16384" width="9.6640625" style="111"/>
  </cols>
  <sheetData>
    <row r="1" spans="2:6" ht="18" customHeight="1">
      <c r="D1" s="110" t="s">
        <v>1179</v>
      </c>
    </row>
    <row r="2" spans="2:6" ht="18" customHeight="1">
      <c r="B2" s="111" t="s">
        <v>1180</v>
      </c>
      <c r="C2" s="131"/>
      <c r="D2" s="131"/>
      <c r="E2" s="131"/>
    </row>
    <row r="3" spans="2:6" ht="18" customHeight="1">
      <c r="B3" s="111" t="s">
        <v>28</v>
      </c>
      <c r="C3" s="131"/>
      <c r="D3" s="131"/>
      <c r="E3" s="131"/>
    </row>
    <row r="5" spans="2:6" ht="21.75" customHeight="1" thickBot="1">
      <c r="B5" s="149" t="s">
        <v>1181</v>
      </c>
      <c r="C5" s="150" t="s">
        <v>1182</v>
      </c>
      <c r="D5" s="149" t="s">
        <v>1183</v>
      </c>
      <c r="E5" s="150" t="s">
        <v>1365</v>
      </c>
    </row>
    <row r="6" spans="2:6" ht="18" customHeight="1">
      <c r="B6" s="151">
        <v>2372</v>
      </c>
      <c r="C6" s="152" t="s">
        <v>1185</v>
      </c>
      <c r="D6" s="152" t="s">
        <v>1186</v>
      </c>
      <c r="E6" s="244">
        <f>B6-IF(AND(C6="MAT CONSTRUÇÃO", D6="A VISTA"),B6*5%,0)</f>
        <v>2372</v>
      </c>
      <c r="F6" s="245">
        <f>B6-IF(C6="MAT CONSTRUÇÃO",B6*5%,0)</f>
        <v>2372</v>
      </c>
    </row>
    <row r="7" spans="2:6" ht="18" customHeight="1">
      <c r="B7" s="151">
        <v>347</v>
      </c>
      <c r="C7" s="152" t="s">
        <v>1187</v>
      </c>
      <c r="D7" s="152" t="s">
        <v>1186</v>
      </c>
      <c r="E7" s="244">
        <f t="shared" ref="E7:E15" si="0">B7-IF(AND(C7="MAT CONSTRUÇÃO", D7="A VISTA"),B7*5%,0)</f>
        <v>329.65</v>
      </c>
      <c r="F7" s="246">
        <f t="shared" ref="F7:F15" si="1">B7-IF(C7="MAT CONSTRUÇÃO",B7*5%,0)</f>
        <v>329.65</v>
      </c>
    </row>
    <row r="8" spans="2:6" ht="18" customHeight="1">
      <c r="B8" s="151">
        <v>1047</v>
      </c>
      <c r="C8" s="152" t="s">
        <v>1187</v>
      </c>
      <c r="D8" s="152" t="s">
        <v>1186</v>
      </c>
      <c r="E8" s="244">
        <f t="shared" si="0"/>
        <v>994.65</v>
      </c>
      <c r="F8" s="246">
        <f t="shared" si="1"/>
        <v>994.65</v>
      </c>
    </row>
    <row r="9" spans="2:6" ht="18" customHeight="1">
      <c r="B9" s="151">
        <v>3024</v>
      </c>
      <c r="C9" s="152" t="s">
        <v>1187</v>
      </c>
      <c r="D9" s="152" t="s">
        <v>1186</v>
      </c>
      <c r="E9" s="244">
        <f t="shared" si="0"/>
        <v>2872.8</v>
      </c>
      <c r="F9" s="246">
        <f t="shared" si="1"/>
        <v>2872.8</v>
      </c>
    </row>
    <row r="10" spans="2:6" ht="18" customHeight="1">
      <c r="B10" s="151">
        <v>2037</v>
      </c>
      <c r="C10" s="152" t="s">
        <v>1185</v>
      </c>
      <c r="D10" s="152" t="s">
        <v>1188</v>
      </c>
      <c r="E10" s="244">
        <f t="shared" si="0"/>
        <v>2037</v>
      </c>
      <c r="F10" s="246">
        <f t="shared" si="1"/>
        <v>2037</v>
      </c>
    </row>
    <row r="11" spans="2:6" ht="18" customHeight="1">
      <c r="B11" s="151">
        <v>605</v>
      </c>
      <c r="C11" s="152" t="s">
        <v>1189</v>
      </c>
      <c r="D11" s="152" t="s">
        <v>1186</v>
      </c>
      <c r="E11" s="244">
        <f t="shared" si="0"/>
        <v>605</v>
      </c>
      <c r="F11" s="246">
        <f t="shared" si="1"/>
        <v>605</v>
      </c>
    </row>
    <row r="12" spans="2:6" ht="18" customHeight="1">
      <c r="B12" s="151">
        <v>423</v>
      </c>
      <c r="C12" s="152" t="s">
        <v>1187</v>
      </c>
      <c r="D12" s="152" t="s">
        <v>1186</v>
      </c>
      <c r="E12" s="244">
        <f t="shared" si="0"/>
        <v>401.85</v>
      </c>
      <c r="F12" s="246">
        <f t="shared" si="1"/>
        <v>401.85</v>
      </c>
    </row>
    <row r="13" spans="2:6" ht="18" customHeight="1">
      <c r="B13" s="151">
        <v>1302</v>
      </c>
      <c r="C13" s="152" t="s">
        <v>1189</v>
      </c>
      <c r="D13" s="152" t="s">
        <v>1188</v>
      </c>
      <c r="E13" s="244">
        <f t="shared" si="0"/>
        <v>1302</v>
      </c>
      <c r="F13" s="246">
        <f t="shared" si="1"/>
        <v>1302</v>
      </c>
    </row>
    <row r="14" spans="2:6" ht="18" customHeight="1">
      <c r="B14" s="151">
        <v>2273</v>
      </c>
      <c r="C14" s="152" t="s">
        <v>1187</v>
      </c>
      <c r="D14" s="152" t="s">
        <v>1188</v>
      </c>
      <c r="E14" s="244">
        <f t="shared" si="0"/>
        <v>2273</v>
      </c>
      <c r="F14" s="246">
        <f t="shared" si="1"/>
        <v>2159.35</v>
      </c>
    </row>
    <row r="15" spans="2:6" ht="18" customHeight="1" thickBot="1">
      <c r="B15" s="151">
        <v>2796</v>
      </c>
      <c r="C15" s="152" t="s">
        <v>1189</v>
      </c>
      <c r="D15" s="152" t="s">
        <v>1188</v>
      </c>
      <c r="E15" s="244">
        <f t="shared" si="0"/>
        <v>2796</v>
      </c>
      <c r="F15" s="247">
        <f t="shared" si="1"/>
        <v>2796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C1C74-DEF3-4600-801E-E8E08821D446}">
  <sheetPr codeName="Planilha13"/>
  <dimension ref="B2:E15"/>
  <sheetViews>
    <sheetView zoomScaleNormal="100" workbookViewId="0">
      <selection activeCell="E7" sqref="E7"/>
    </sheetView>
  </sheetViews>
  <sheetFormatPr defaultColWidth="9.6640625" defaultRowHeight="18" customHeight="1"/>
  <cols>
    <col min="1" max="1" width="2" style="111" customWidth="1"/>
    <col min="2" max="4" width="15.6640625" style="111" customWidth="1"/>
    <col min="5" max="5" width="20" style="111" customWidth="1"/>
    <col min="6" max="16384" width="9.6640625" style="111"/>
  </cols>
  <sheetData>
    <row r="2" spans="2:5" ht="18" customHeight="1">
      <c r="B2" s="111" t="s">
        <v>1180</v>
      </c>
      <c r="C2" s="131"/>
      <c r="D2" s="131"/>
      <c r="E2" s="131"/>
    </row>
    <row r="3" spans="2:5" ht="18" customHeight="1">
      <c r="B3" s="111" t="s">
        <v>1190</v>
      </c>
      <c r="C3" s="131"/>
      <c r="D3" s="131"/>
      <c r="E3" s="131"/>
    </row>
    <row r="5" spans="2:5" ht="18" customHeight="1">
      <c r="B5" s="149" t="s">
        <v>1181</v>
      </c>
      <c r="C5" s="150" t="s">
        <v>1182</v>
      </c>
      <c r="D5" s="149" t="s">
        <v>1183</v>
      </c>
      <c r="E5" s="150" t="s">
        <v>1184</v>
      </c>
    </row>
    <row r="6" spans="2:5" ht="18" customHeight="1">
      <c r="B6" s="151">
        <v>2372</v>
      </c>
      <c r="C6" s="152" t="s">
        <v>1185</v>
      </c>
      <c r="D6" s="152" t="s">
        <v>1186</v>
      </c>
      <c r="E6" s="153">
        <f>IF(OR(C6="MAT CONSTRUÇÃO",D6="A VISTA"),B6*5%,0)</f>
        <v>118.60000000000001</v>
      </c>
    </row>
    <row r="7" spans="2:5" ht="18" customHeight="1">
      <c r="B7" s="151">
        <v>347</v>
      </c>
      <c r="C7" s="152" t="s">
        <v>1187</v>
      </c>
      <c r="D7" s="152" t="s">
        <v>1186</v>
      </c>
      <c r="E7" s="153">
        <f t="shared" ref="E7:E15" si="0">IF(OR(C7="MAT CONSTRUÇÃO",D7="A VISTA"),B7*5%,0)</f>
        <v>17.350000000000001</v>
      </c>
    </row>
    <row r="8" spans="2:5" ht="18" customHeight="1">
      <c r="B8" s="151">
        <v>1047</v>
      </c>
      <c r="C8" s="152" t="s">
        <v>1187</v>
      </c>
      <c r="D8" s="152" t="s">
        <v>1186</v>
      </c>
      <c r="E8" s="153">
        <f t="shared" si="0"/>
        <v>52.35</v>
      </c>
    </row>
    <row r="9" spans="2:5" ht="18" customHeight="1">
      <c r="B9" s="151">
        <v>3024</v>
      </c>
      <c r="C9" s="152" t="s">
        <v>1187</v>
      </c>
      <c r="D9" s="152" t="s">
        <v>1186</v>
      </c>
      <c r="E9" s="153">
        <f t="shared" si="0"/>
        <v>151.20000000000002</v>
      </c>
    </row>
    <row r="10" spans="2:5" ht="18" customHeight="1">
      <c r="B10" s="151">
        <v>2037</v>
      </c>
      <c r="C10" s="152" t="s">
        <v>1185</v>
      </c>
      <c r="D10" s="152" t="s">
        <v>1188</v>
      </c>
      <c r="E10" s="153">
        <f t="shared" si="0"/>
        <v>0</v>
      </c>
    </row>
    <row r="11" spans="2:5" ht="18" customHeight="1">
      <c r="B11" s="151">
        <v>605</v>
      </c>
      <c r="C11" s="152" t="s">
        <v>1189</v>
      </c>
      <c r="D11" s="152" t="s">
        <v>1186</v>
      </c>
      <c r="E11" s="153">
        <f t="shared" si="0"/>
        <v>30.25</v>
      </c>
    </row>
    <row r="12" spans="2:5" ht="18" customHeight="1">
      <c r="B12" s="151">
        <v>423</v>
      </c>
      <c r="C12" s="152" t="s">
        <v>1187</v>
      </c>
      <c r="D12" s="152" t="s">
        <v>1186</v>
      </c>
      <c r="E12" s="153">
        <f t="shared" si="0"/>
        <v>21.150000000000002</v>
      </c>
    </row>
    <row r="13" spans="2:5" ht="18" customHeight="1">
      <c r="B13" s="151">
        <v>1302</v>
      </c>
      <c r="C13" s="152" t="s">
        <v>1189</v>
      </c>
      <c r="D13" s="152" t="s">
        <v>1188</v>
      </c>
      <c r="E13" s="153">
        <f t="shared" si="0"/>
        <v>0</v>
      </c>
    </row>
    <row r="14" spans="2:5" ht="18" customHeight="1">
      <c r="B14" s="151">
        <v>2273</v>
      </c>
      <c r="C14" s="152" t="s">
        <v>1187</v>
      </c>
      <c r="D14" s="152" t="s">
        <v>1188</v>
      </c>
      <c r="E14" s="153">
        <f t="shared" si="0"/>
        <v>113.65</v>
      </c>
    </row>
    <row r="15" spans="2:5" ht="18" customHeight="1">
      <c r="B15" s="151">
        <v>2796</v>
      </c>
      <c r="C15" s="152" t="s">
        <v>1189</v>
      </c>
      <c r="D15" s="152" t="s">
        <v>1188</v>
      </c>
      <c r="E15" s="153">
        <f t="shared" si="0"/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4F061-0BC2-449B-B02C-FF7395D6C521}">
  <sheetPr codeName="Planilha12"/>
  <dimension ref="A1:Y24"/>
  <sheetViews>
    <sheetView zoomScaleNormal="100" workbookViewId="0">
      <selection activeCell="C8" sqref="C8"/>
    </sheetView>
  </sheetViews>
  <sheetFormatPr defaultColWidth="9.6640625" defaultRowHeight="18" customHeight="1"/>
  <cols>
    <col min="1" max="1" width="2.33203125" style="111" customWidth="1"/>
    <col min="2" max="2" width="22.109375" style="111" bestFit="1" customWidth="1"/>
    <col min="3" max="3" width="32" style="111" bestFit="1" customWidth="1"/>
    <col min="4" max="5" width="9.6640625" style="111"/>
    <col min="6" max="6" width="37.33203125" style="111" bestFit="1" customWidth="1"/>
    <col min="7" max="7" width="7" style="111" bestFit="1" customWidth="1"/>
    <col min="8" max="8" width="34.33203125" style="111" bestFit="1" customWidth="1"/>
    <col min="9" max="9" width="11.5546875" style="111" bestFit="1" customWidth="1"/>
    <col min="10" max="10" width="11.44140625" style="111" bestFit="1" customWidth="1"/>
    <col min="11" max="11" width="5.88671875" style="111" bestFit="1" customWidth="1"/>
    <col min="12" max="22" width="9.6640625" style="111"/>
    <col min="23" max="23" width="9.6640625" style="110"/>
    <col min="24" max="16384" width="9.6640625" style="111"/>
  </cols>
  <sheetData>
    <row r="1" spans="1:25" ht="18" customHeight="1">
      <c r="A1" s="154"/>
      <c r="B1" s="155"/>
      <c r="C1" s="155"/>
      <c r="D1" s="155"/>
      <c r="E1" s="154"/>
      <c r="F1" s="156"/>
      <c r="G1" s="156"/>
      <c r="H1" s="156"/>
      <c r="I1" s="156"/>
      <c r="J1" s="156"/>
      <c r="K1" s="156"/>
      <c r="W1" s="110" t="s">
        <v>1191</v>
      </c>
      <c r="X1" s="111" t="s">
        <v>1192</v>
      </c>
      <c r="Y1" s="133" t="s">
        <v>1193</v>
      </c>
    </row>
    <row r="2" spans="1:25" ht="18" customHeight="1">
      <c r="A2" s="154"/>
      <c r="B2" s="157" t="s">
        <v>1194</v>
      </c>
      <c r="C2" s="155"/>
      <c r="D2" s="155"/>
      <c r="E2" s="154"/>
      <c r="F2" s="158" t="s">
        <v>1195</v>
      </c>
      <c r="G2" s="158" t="s">
        <v>1196</v>
      </c>
      <c r="H2" s="158" t="s">
        <v>1197</v>
      </c>
      <c r="I2" s="158" t="s">
        <v>1198</v>
      </c>
      <c r="J2" s="159" t="s">
        <v>1199</v>
      </c>
      <c r="K2" s="158" t="s">
        <v>1200</v>
      </c>
      <c r="W2" s="110" t="s">
        <v>1201</v>
      </c>
      <c r="X2" s="111" t="s">
        <v>1202</v>
      </c>
      <c r="Y2" s="133" t="s">
        <v>1203</v>
      </c>
    </row>
    <row r="3" spans="1:25" ht="18" customHeight="1">
      <c r="A3" s="154"/>
      <c r="B3" s="157" t="s">
        <v>1204</v>
      </c>
      <c r="C3" s="155"/>
      <c r="D3" s="155"/>
      <c r="E3" s="154"/>
      <c r="F3" s="160" t="s">
        <v>1205</v>
      </c>
      <c r="G3" s="161">
        <v>10039</v>
      </c>
      <c r="H3" s="160" t="s">
        <v>1206</v>
      </c>
      <c r="I3" s="162" t="s">
        <v>1207</v>
      </c>
      <c r="J3" s="163">
        <v>54</v>
      </c>
      <c r="K3" s="161">
        <v>3</v>
      </c>
      <c r="W3" s="110" t="s">
        <v>1208</v>
      </c>
    </row>
    <row r="4" spans="1:25" ht="18" customHeight="1">
      <c r="A4" s="154"/>
      <c r="B4" s="155"/>
      <c r="C4" s="155"/>
      <c r="D4" s="155"/>
      <c r="E4" s="154"/>
      <c r="F4" s="160" t="s">
        <v>1209</v>
      </c>
      <c r="G4" s="161">
        <v>10281</v>
      </c>
      <c r="H4" s="160" t="s">
        <v>1206</v>
      </c>
      <c r="I4" s="162" t="s">
        <v>1210</v>
      </c>
      <c r="J4" s="163">
        <v>56</v>
      </c>
      <c r="K4" s="161">
        <v>1</v>
      </c>
      <c r="W4" s="110" t="s">
        <v>1211</v>
      </c>
    </row>
    <row r="5" spans="1:25" ht="18" customHeight="1">
      <c r="A5" s="154"/>
      <c r="B5" s="164" t="s">
        <v>1212</v>
      </c>
      <c r="C5" s="164" t="s">
        <v>1195</v>
      </c>
      <c r="D5" s="164" t="s">
        <v>1213</v>
      </c>
      <c r="E5" s="154"/>
      <c r="F5" s="160" t="s">
        <v>1214</v>
      </c>
      <c r="G5" s="161">
        <v>10626</v>
      </c>
      <c r="H5" s="160" t="s">
        <v>1215</v>
      </c>
      <c r="I5" s="162" t="s">
        <v>1216</v>
      </c>
      <c r="J5" s="163">
        <v>38</v>
      </c>
      <c r="K5" s="161">
        <v>1</v>
      </c>
      <c r="W5" s="110" t="s">
        <v>1217</v>
      </c>
    </row>
    <row r="6" spans="1:25" ht="18" customHeight="1">
      <c r="A6" s="154"/>
      <c r="B6" s="165">
        <v>103152</v>
      </c>
      <c r="C6" s="166" t="str">
        <f>INDEX(F3:F24,MATCH(B6,G3:G24,0))</f>
        <v>ALFREDO ALEXANDRE MULLER</v>
      </c>
      <c r="D6" s="165">
        <f>VLOOKUP(B6,G3:J24,4,0)</f>
        <v>36</v>
      </c>
      <c r="E6" s="154"/>
      <c r="F6" s="160" t="s">
        <v>1218</v>
      </c>
      <c r="G6" s="161">
        <v>103152</v>
      </c>
      <c r="H6" s="160" t="s">
        <v>1219</v>
      </c>
      <c r="I6" s="162" t="s">
        <v>1220</v>
      </c>
      <c r="J6" s="163">
        <v>36</v>
      </c>
      <c r="K6" s="161">
        <v>4</v>
      </c>
    </row>
    <row r="7" spans="1:25" ht="18" customHeight="1">
      <c r="A7" s="154"/>
      <c r="B7" s="155"/>
      <c r="C7" s="155"/>
      <c r="D7" s="155"/>
      <c r="E7" s="154"/>
      <c r="F7" s="160" t="s">
        <v>1221</v>
      </c>
      <c r="G7" s="161">
        <v>10246</v>
      </c>
      <c r="H7" s="160" t="s">
        <v>1222</v>
      </c>
      <c r="I7" s="162" t="s">
        <v>1223</v>
      </c>
      <c r="J7" s="163">
        <v>48</v>
      </c>
      <c r="K7" s="161">
        <v>3</v>
      </c>
    </row>
    <row r="8" spans="1:25" ht="18" customHeight="1">
      <c r="A8" s="154"/>
      <c r="B8" s="155"/>
      <c r="C8" s="167"/>
      <c r="D8" s="155"/>
      <c r="E8" s="154"/>
      <c r="F8" s="160" t="s">
        <v>1224</v>
      </c>
      <c r="G8" s="161">
        <v>10758</v>
      </c>
      <c r="H8" s="160" t="s">
        <v>1222</v>
      </c>
      <c r="I8" s="162" t="s">
        <v>1225</v>
      </c>
      <c r="J8" s="163">
        <v>36</v>
      </c>
      <c r="K8" s="161">
        <v>7</v>
      </c>
    </row>
    <row r="9" spans="1:25" ht="18" customHeight="1">
      <c r="A9" s="154"/>
      <c r="B9" s="155"/>
      <c r="C9" s="155"/>
      <c r="D9" s="155"/>
      <c r="E9" s="154"/>
      <c r="F9" s="160" t="s">
        <v>1226</v>
      </c>
      <c r="G9" s="161">
        <v>10211</v>
      </c>
      <c r="H9" s="160" t="s">
        <v>1206</v>
      </c>
      <c r="I9" s="162" t="s">
        <v>1227</v>
      </c>
      <c r="J9" s="163">
        <v>40</v>
      </c>
      <c r="K9" s="161">
        <v>17</v>
      </c>
    </row>
    <row r="10" spans="1:25" ht="18" customHeight="1">
      <c r="A10" s="154"/>
      <c r="B10" s="155"/>
      <c r="C10" s="155"/>
      <c r="D10" s="155"/>
      <c r="E10" s="154"/>
      <c r="F10" s="160" t="s">
        <v>1228</v>
      </c>
      <c r="G10" s="161">
        <v>10661</v>
      </c>
      <c r="H10" s="160" t="s">
        <v>1229</v>
      </c>
      <c r="I10" s="162" t="s">
        <v>1230</v>
      </c>
      <c r="J10" s="163">
        <v>36</v>
      </c>
      <c r="K10" s="161">
        <v>1</v>
      </c>
    </row>
    <row r="11" spans="1:25" ht="18" customHeight="1">
      <c r="A11" s="154"/>
      <c r="B11" s="155"/>
      <c r="C11" s="155"/>
      <c r="D11" s="155"/>
      <c r="E11" s="154"/>
      <c r="F11" s="160" t="s">
        <v>1231</v>
      </c>
      <c r="G11" s="161">
        <v>104086</v>
      </c>
      <c r="H11" s="160" t="s">
        <v>1232</v>
      </c>
      <c r="I11" s="162" t="s">
        <v>1233</v>
      </c>
      <c r="J11" s="163">
        <v>56</v>
      </c>
      <c r="K11" s="161">
        <v>1</v>
      </c>
    </row>
    <row r="12" spans="1:25" ht="18" customHeight="1">
      <c r="A12" s="154"/>
      <c r="B12" s="155"/>
      <c r="C12" s="155"/>
      <c r="D12" s="155"/>
      <c r="E12" s="154"/>
      <c r="F12" s="160" t="s">
        <v>1234</v>
      </c>
      <c r="G12" s="161">
        <v>10226</v>
      </c>
      <c r="H12" s="160" t="s">
        <v>1206</v>
      </c>
      <c r="I12" s="162" t="s">
        <v>1235</v>
      </c>
      <c r="J12" s="163">
        <v>54</v>
      </c>
      <c r="K12" s="161">
        <v>5</v>
      </c>
    </row>
    <row r="13" spans="1:25" ht="18" customHeight="1">
      <c r="A13" s="154"/>
      <c r="B13" s="155"/>
      <c r="C13" s="155"/>
      <c r="D13" s="155"/>
      <c r="E13" s="154"/>
      <c r="F13" s="160" t="s">
        <v>1236</v>
      </c>
      <c r="G13" s="161">
        <v>98648</v>
      </c>
      <c r="H13" s="160" t="s">
        <v>1237</v>
      </c>
      <c r="I13" s="162" t="s">
        <v>1238</v>
      </c>
      <c r="J13" s="163">
        <v>46</v>
      </c>
      <c r="K13" s="161">
        <v>2</v>
      </c>
    </row>
    <row r="14" spans="1:25" ht="18" customHeight="1">
      <c r="A14" s="154"/>
      <c r="B14" s="155"/>
      <c r="C14" s="155"/>
      <c r="D14" s="155"/>
      <c r="E14" s="154"/>
      <c r="F14" s="160" t="s">
        <v>1239</v>
      </c>
      <c r="G14" s="161">
        <v>10154</v>
      </c>
      <c r="H14" s="160" t="s">
        <v>1237</v>
      </c>
      <c r="I14" s="162" t="s">
        <v>1240</v>
      </c>
      <c r="J14" s="163">
        <v>46</v>
      </c>
      <c r="K14" s="161">
        <v>1</v>
      </c>
    </row>
    <row r="15" spans="1:25" ht="18" customHeight="1">
      <c r="A15" s="154"/>
      <c r="B15" s="155"/>
      <c r="C15" s="155"/>
      <c r="D15" s="155"/>
      <c r="E15" s="154"/>
      <c r="F15" s="160" t="s">
        <v>1241</v>
      </c>
      <c r="G15" s="161">
        <v>10244</v>
      </c>
      <c r="H15" s="160" t="s">
        <v>1222</v>
      </c>
      <c r="I15" s="162" t="s">
        <v>1242</v>
      </c>
      <c r="J15" s="163">
        <v>36</v>
      </c>
      <c r="K15" s="161">
        <v>6</v>
      </c>
    </row>
    <row r="16" spans="1:25" ht="18" customHeight="1">
      <c r="A16" s="154"/>
      <c r="B16" s="155"/>
      <c r="C16" s="155"/>
      <c r="D16" s="155"/>
      <c r="E16" s="154"/>
      <c r="F16" s="160" t="s">
        <v>1243</v>
      </c>
      <c r="G16" s="161">
        <v>10209</v>
      </c>
      <c r="H16" s="160" t="s">
        <v>1206</v>
      </c>
      <c r="I16" s="162" t="s">
        <v>1244</v>
      </c>
      <c r="J16" s="163">
        <v>50</v>
      </c>
      <c r="K16" s="161">
        <v>11</v>
      </c>
    </row>
    <row r="17" spans="1:11" ht="18" customHeight="1">
      <c r="A17" s="154"/>
      <c r="B17" s="155"/>
      <c r="C17" s="155"/>
      <c r="D17" s="155"/>
      <c r="E17" s="154"/>
      <c r="F17" s="160" t="s">
        <v>1245</v>
      </c>
      <c r="G17" s="161">
        <v>10008</v>
      </c>
      <c r="H17" s="160" t="s">
        <v>1206</v>
      </c>
      <c r="I17" s="162" t="s">
        <v>1246</v>
      </c>
      <c r="J17" s="163">
        <v>52</v>
      </c>
      <c r="K17" s="161">
        <v>10</v>
      </c>
    </row>
    <row r="18" spans="1:11" ht="18" customHeight="1">
      <c r="A18" s="154"/>
      <c r="B18" s="155"/>
      <c r="C18" s="155"/>
      <c r="D18" s="155"/>
      <c r="E18" s="154"/>
      <c r="F18" s="160" t="s">
        <v>1247</v>
      </c>
      <c r="G18" s="161">
        <v>10737</v>
      </c>
      <c r="H18" s="160" t="s">
        <v>1222</v>
      </c>
      <c r="I18" s="162" t="s">
        <v>1248</v>
      </c>
      <c r="J18" s="163">
        <v>54</v>
      </c>
      <c r="K18" s="161">
        <v>1</v>
      </c>
    </row>
    <row r="19" spans="1:11" ht="18" customHeight="1">
      <c r="A19" s="154"/>
      <c r="B19" s="155"/>
      <c r="C19" s="155"/>
      <c r="D19" s="155"/>
      <c r="E19" s="154"/>
      <c r="F19" s="160" t="s">
        <v>1249</v>
      </c>
      <c r="G19" s="161">
        <v>10749</v>
      </c>
      <c r="H19" s="160" t="s">
        <v>1206</v>
      </c>
      <c r="I19" s="162" t="s">
        <v>1250</v>
      </c>
      <c r="J19" s="163">
        <v>54</v>
      </c>
      <c r="K19" s="161">
        <v>2</v>
      </c>
    </row>
    <row r="20" spans="1:11" ht="18" customHeight="1">
      <c r="A20" s="154"/>
      <c r="B20" s="155"/>
      <c r="C20" s="155"/>
      <c r="D20" s="155"/>
      <c r="E20" s="154"/>
      <c r="F20" s="160" t="s">
        <v>1251</v>
      </c>
      <c r="G20" s="161">
        <v>10269</v>
      </c>
      <c r="H20" s="160" t="s">
        <v>1206</v>
      </c>
      <c r="I20" s="162" t="s">
        <v>1252</v>
      </c>
      <c r="J20" s="163">
        <v>48</v>
      </c>
      <c r="K20" s="161">
        <v>12</v>
      </c>
    </row>
    <row r="21" spans="1:11" ht="18" customHeight="1">
      <c r="A21" s="154"/>
      <c r="B21" s="155"/>
      <c r="C21" s="155"/>
      <c r="D21" s="155"/>
      <c r="E21" s="154"/>
      <c r="F21" s="160" t="s">
        <v>1253</v>
      </c>
      <c r="G21" s="161">
        <v>10648</v>
      </c>
      <c r="H21" s="160" t="s">
        <v>1254</v>
      </c>
      <c r="I21" s="162" t="s">
        <v>1255</v>
      </c>
      <c r="J21" s="163">
        <v>42</v>
      </c>
      <c r="K21" s="161">
        <v>5</v>
      </c>
    </row>
    <row r="22" spans="1:11" ht="18" customHeight="1">
      <c r="A22" s="154"/>
      <c r="B22" s="155"/>
      <c r="C22" s="155"/>
      <c r="D22" s="155"/>
      <c r="E22" s="154"/>
      <c r="F22" s="160" t="s">
        <v>1256</v>
      </c>
      <c r="G22" s="161">
        <v>10646</v>
      </c>
      <c r="H22" s="160" t="s">
        <v>1222</v>
      </c>
      <c r="I22" s="162" t="s">
        <v>1257</v>
      </c>
      <c r="J22" s="163">
        <v>44</v>
      </c>
      <c r="K22" s="161">
        <v>4</v>
      </c>
    </row>
    <row r="23" spans="1:11" ht="18" customHeight="1">
      <c r="A23" s="154"/>
      <c r="B23" s="155"/>
      <c r="C23" s="155"/>
      <c r="D23" s="155"/>
      <c r="E23" s="154"/>
      <c r="F23" s="160" t="s">
        <v>1258</v>
      </c>
      <c r="G23" s="161">
        <v>10270</v>
      </c>
      <c r="H23" s="160" t="s">
        <v>1206</v>
      </c>
      <c r="I23" s="162">
        <v>6835058</v>
      </c>
      <c r="J23" s="163">
        <v>54</v>
      </c>
      <c r="K23" s="161">
        <v>4</v>
      </c>
    </row>
    <row r="24" spans="1:11" ht="18" customHeight="1">
      <c r="A24" s="154"/>
      <c r="B24" s="155"/>
      <c r="C24" s="155"/>
      <c r="D24" s="155"/>
      <c r="E24" s="154"/>
      <c r="F24" s="160" t="s">
        <v>1259</v>
      </c>
      <c r="G24" s="161">
        <v>10245</v>
      </c>
      <c r="H24" s="160" t="s">
        <v>1254</v>
      </c>
      <c r="I24" s="162" t="s">
        <v>1260</v>
      </c>
      <c r="J24" s="163">
        <v>52</v>
      </c>
      <c r="K24" s="161">
        <v>1</v>
      </c>
    </row>
  </sheetData>
  <dataValidations count="1">
    <dataValidation type="list" allowBlank="1" showInputMessage="1" showErrorMessage="1" sqref="B6" xr:uid="{31DADCCA-0C15-46A2-BA07-2BA505FC7A1D}">
      <formula1>$G$3:$G$24</formula1>
    </dataValidation>
  </dataValidations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99DF2-A208-406C-A697-0B45FF397662}">
  <sheetPr codeName="Sheet1">
    <tabColor rgb="FF00FFFF"/>
  </sheetPr>
  <dimension ref="A1:AI32"/>
  <sheetViews>
    <sheetView showGridLines="0" topLeftCell="J6" zoomScale="90" zoomScaleNormal="90" workbookViewId="0">
      <selection activeCell="AI38" sqref="AI38"/>
    </sheetView>
  </sheetViews>
  <sheetFormatPr defaultColWidth="9.109375" defaultRowHeight="14.4"/>
  <cols>
    <col min="1" max="1" width="86.109375" style="232" customWidth="1"/>
    <col min="2" max="2" width="9.109375" style="232"/>
    <col min="3" max="3" width="14.6640625" style="232" bestFit="1" customWidth="1"/>
    <col min="4" max="4" width="14.88671875" style="232" bestFit="1" customWidth="1"/>
    <col min="5" max="5" width="9.109375" style="232"/>
    <col min="6" max="6" width="10.5546875" style="232" customWidth="1"/>
    <col min="7" max="7" width="10.5546875" style="232" bestFit="1" customWidth="1"/>
    <col min="8" max="8" width="9.109375" style="232"/>
    <col min="9" max="9" width="9.109375" style="257"/>
    <col min="10" max="12" width="9.109375" style="232"/>
    <col min="13" max="13" width="13" style="232" customWidth="1"/>
    <col min="14" max="14" width="11.44140625" style="232" customWidth="1"/>
    <col min="15" max="16384" width="9.109375" style="232"/>
  </cols>
  <sheetData>
    <row r="1" spans="1:35" ht="15" thickBot="1">
      <c r="A1" s="260" t="s">
        <v>1366</v>
      </c>
      <c r="B1" s="262"/>
      <c r="C1" s="263" t="s">
        <v>1369</v>
      </c>
      <c r="D1" s="263" t="s">
        <v>1368</v>
      </c>
      <c r="E1" s="264"/>
      <c r="F1" s="264" t="s">
        <v>1372</v>
      </c>
      <c r="G1" s="264"/>
      <c r="H1" s="264"/>
      <c r="I1" s="265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264"/>
      <c r="AI1" s="266"/>
    </row>
    <row r="2" spans="1:35" ht="15" thickBot="1">
      <c r="B2" s="267"/>
      <c r="C2" s="248" t="s">
        <v>1370</v>
      </c>
      <c r="D2" s="248">
        <v>2020</v>
      </c>
      <c r="E2" s="268"/>
      <c r="F2" s="252" t="s">
        <v>1373</v>
      </c>
      <c r="G2" s="252" t="s">
        <v>19</v>
      </c>
      <c r="H2" s="253" t="s">
        <v>1387</v>
      </c>
      <c r="I2" s="25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9"/>
    </row>
    <row r="3" spans="1:35">
      <c r="A3" s="261" t="s">
        <v>1367</v>
      </c>
      <c r="B3" s="267"/>
      <c r="C3" s="248" t="s">
        <v>1371</v>
      </c>
      <c r="D3" s="249">
        <f>SUM(G3:G14)</f>
        <v>4115</v>
      </c>
      <c r="E3" s="268"/>
      <c r="F3" s="251" t="s">
        <v>1374</v>
      </c>
      <c r="G3" s="275">
        <v>370</v>
      </c>
      <c r="H3" s="255">
        <f t="shared" ref="H3:H14" si="0">G3/$D$3</f>
        <v>8.9914945321992706E-2</v>
      </c>
      <c r="I3" s="259"/>
      <c r="J3" s="268"/>
      <c r="K3" s="268"/>
      <c r="L3" s="268"/>
      <c r="M3" s="268"/>
      <c r="N3" s="268"/>
      <c r="O3" s="268"/>
      <c r="P3" s="268"/>
      <c r="Q3" s="268"/>
      <c r="R3" s="268"/>
      <c r="S3" s="268"/>
      <c r="T3" s="268"/>
      <c r="U3" s="268"/>
      <c r="V3" s="268"/>
      <c r="W3" s="268"/>
      <c r="X3" s="268"/>
      <c r="Y3" s="268"/>
      <c r="Z3" s="268"/>
      <c r="AA3" s="268"/>
      <c r="AB3" s="268"/>
      <c r="AC3" s="268"/>
      <c r="AD3" s="268"/>
      <c r="AE3" s="268"/>
      <c r="AF3" s="268"/>
      <c r="AG3" s="268"/>
      <c r="AH3" s="268"/>
      <c r="AI3" s="269"/>
    </row>
    <row r="4" spans="1:35">
      <c r="B4" s="267"/>
      <c r="C4" s="248" t="s">
        <v>1386</v>
      </c>
      <c r="D4" s="250">
        <f>AVERAGE(G3:G14)</f>
        <v>342.91666666666669</v>
      </c>
      <c r="E4" s="268"/>
      <c r="F4" s="248" t="s">
        <v>1375</v>
      </c>
      <c r="G4" s="249">
        <v>421</v>
      </c>
      <c r="H4" s="255">
        <f t="shared" si="0"/>
        <v>0.10230862697448359</v>
      </c>
      <c r="I4" s="259"/>
      <c r="J4" s="268"/>
      <c r="K4" s="268"/>
      <c r="L4" s="268"/>
      <c r="M4" s="268"/>
      <c r="N4" s="268"/>
      <c r="O4" s="268"/>
      <c r="P4" s="268"/>
      <c r="Q4" s="268"/>
      <c r="R4" s="268"/>
      <c r="S4" s="268"/>
      <c r="T4" s="268"/>
      <c r="U4" s="268"/>
      <c r="V4" s="268"/>
      <c r="W4" s="268"/>
      <c r="X4" s="268"/>
      <c r="Y4" s="268"/>
      <c r="Z4" s="268"/>
      <c r="AA4" s="268"/>
      <c r="AB4" s="268"/>
      <c r="AC4" s="268"/>
      <c r="AD4" s="268"/>
      <c r="AE4" s="268"/>
      <c r="AF4" s="268"/>
      <c r="AG4" s="268"/>
      <c r="AH4" s="268"/>
      <c r="AI4" s="269"/>
    </row>
    <row r="5" spans="1:35">
      <c r="B5" s="267"/>
      <c r="C5" s="268"/>
      <c r="D5" s="270">
        <f>D3/12</f>
        <v>342.91666666666669</v>
      </c>
      <c r="E5" s="268"/>
      <c r="F5" s="248" t="s">
        <v>1376</v>
      </c>
      <c r="G5" s="249">
        <v>230</v>
      </c>
      <c r="H5" s="255">
        <f t="shared" si="0"/>
        <v>5.5893074119076548E-2</v>
      </c>
      <c r="I5" s="259"/>
      <c r="J5" s="268"/>
      <c r="K5" s="268"/>
      <c r="L5" s="268"/>
      <c r="M5" s="268"/>
      <c r="N5" s="268"/>
      <c r="O5" s="268"/>
      <c r="P5" s="268"/>
      <c r="Q5" s="268"/>
      <c r="R5" s="268"/>
      <c r="S5" s="268"/>
      <c r="T5" s="268"/>
      <c r="U5" s="268"/>
      <c r="V5" s="268"/>
      <c r="W5" s="268"/>
      <c r="X5" s="268"/>
      <c r="Y5" s="268"/>
      <c r="Z5" s="268"/>
      <c r="AA5" s="268"/>
      <c r="AB5" s="268"/>
      <c r="AC5" s="268"/>
      <c r="AD5" s="268"/>
      <c r="AE5" s="268"/>
      <c r="AF5" s="268"/>
      <c r="AG5" s="268"/>
      <c r="AH5" s="268"/>
      <c r="AI5" s="269"/>
    </row>
    <row r="6" spans="1:35">
      <c r="B6" s="267"/>
      <c r="C6" s="268"/>
      <c r="D6" s="268"/>
      <c r="E6" s="268"/>
      <c r="F6" s="248" t="s">
        <v>1377</v>
      </c>
      <c r="G6" s="249">
        <v>450</v>
      </c>
      <c r="H6" s="255">
        <f t="shared" si="0"/>
        <v>0.10935601458080195</v>
      </c>
      <c r="I6" s="259"/>
      <c r="J6" s="268"/>
      <c r="K6" s="268"/>
      <c r="L6" s="268"/>
      <c r="M6" s="268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  <c r="Y6" s="268"/>
      <c r="Z6" s="268"/>
      <c r="AA6" s="268"/>
      <c r="AB6" s="268"/>
      <c r="AC6" s="268"/>
      <c r="AD6" s="268"/>
      <c r="AE6" s="268"/>
      <c r="AF6" s="268"/>
      <c r="AG6" s="268"/>
      <c r="AH6" s="268"/>
      <c r="AI6" s="269"/>
    </row>
    <row r="7" spans="1:35">
      <c r="B7" s="267"/>
      <c r="C7" s="268"/>
      <c r="D7" s="268"/>
      <c r="E7" s="268"/>
      <c r="F7" s="248" t="s">
        <v>1378</v>
      </c>
      <c r="G7" s="249">
        <v>386</v>
      </c>
      <c r="H7" s="255">
        <f t="shared" si="0"/>
        <v>9.3803159173754563E-2</v>
      </c>
      <c r="I7" s="259"/>
      <c r="J7" s="268"/>
      <c r="K7" s="268"/>
      <c r="L7" s="268"/>
      <c r="M7" s="268"/>
      <c r="N7" s="268"/>
      <c r="O7" s="268"/>
      <c r="P7" s="268"/>
      <c r="Q7" s="268"/>
      <c r="R7" s="268"/>
      <c r="S7" s="268"/>
      <c r="T7" s="268"/>
      <c r="U7" s="268"/>
      <c r="V7" s="268"/>
      <c r="W7" s="268"/>
      <c r="X7" s="268"/>
      <c r="Y7" s="268"/>
      <c r="Z7" s="268"/>
      <c r="AA7" s="268"/>
      <c r="AB7" s="268"/>
      <c r="AC7" s="268"/>
      <c r="AD7" s="268"/>
      <c r="AE7" s="268"/>
      <c r="AF7" s="268"/>
      <c r="AG7" s="268"/>
      <c r="AH7" s="268"/>
      <c r="AI7" s="269"/>
    </row>
    <row r="8" spans="1:35">
      <c r="B8" s="267"/>
      <c r="C8" s="268"/>
      <c r="D8" s="268"/>
      <c r="E8" s="268"/>
      <c r="F8" s="248" t="s">
        <v>1379</v>
      </c>
      <c r="G8" s="249">
        <v>154</v>
      </c>
      <c r="H8" s="255">
        <f t="shared" si="0"/>
        <v>3.7424058323207776E-2</v>
      </c>
      <c r="I8" s="259"/>
      <c r="J8" s="268"/>
      <c r="K8" s="268"/>
      <c r="L8" s="268"/>
      <c r="M8" s="268"/>
      <c r="N8" s="268"/>
      <c r="O8" s="268"/>
      <c r="P8" s="268"/>
      <c r="Q8" s="268"/>
      <c r="R8" s="268"/>
      <c r="S8" s="268"/>
      <c r="T8" s="268"/>
      <c r="U8" s="268"/>
      <c r="V8" s="268"/>
      <c r="W8" s="268"/>
      <c r="X8" s="268"/>
      <c r="Y8" s="268"/>
      <c r="Z8" s="268"/>
      <c r="AA8" s="268"/>
      <c r="AB8" s="268"/>
      <c r="AC8" s="268"/>
      <c r="AD8" s="268"/>
      <c r="AE8" s="268"/>
      <c r="AF8" s="268"/>
      <c r="AG8" s="268"/>
      <c r="AH8" s="268"/>
      <c r="AI8" s="269"/>
    </row>
    <row r="9" spans="1:35">
      <c r="B9" s="267"/>
      <c r="C9" s="268"/>
      <c r="D9" s="268"/>
      <c r="E9" s="268"/>
      <c r="F9" s="248" t="s">
        <v>1380</v>
      </c>
      <c r="G9" s="249">
        <v>463</v>
      </c>
      <c r="H9" s="255">
        <f t="shared" si="0"/>
        <v>0.11251518833535845</v>
      </c>
      <c r="I9" s="259"/>
      <c r="J9" s="268"/>
      <c r="K9" s="268"/>
      <c r="L9" s="268"/>
      <c r="M9" s="268"/>
      <c r="N9" s="268"/>
      <c r="O9" s="268"/>
      <c r="P9" s="268"/>
      <c r="Q9" s="268"/>
      <c r="R9" s="268"/>
      <c r="S9" s="268"/>
      <c r="T9" s="268"/>
      <c r="U9" s="268"/>
      <c r="V9" s="268"/>
      <c r="W9" s="268"/>
      <c r="X9" s="268"/>
      <c r="Y9" s="268"/>
      <c r="Z9" s="268"/>
      <c r="AA9" s="268"/>
      <c r="AB9" s="268"/>
      <c r="AC9" s="268"/>
      <c r="AD9" s="268"/>
      <c r="AE9" s="268"/>
      <c r="AF9" s="268"/>
      <c r="AG9" s="268"/>
      <c r="AH9" s="268"/>
      <c r="AI9" s="269"/>
    </row>
    <row r="10" spans="1:35">
      <c r="B10" s="267"/>
      <c r="C10" s="268"/>
      <c r="D10" s="268"/>
      <c r="E10" s="268"/>
      <c r="F10" s="248" t="s">
        <v>1381</v>
      </c>
      <c r="G10" s="249">
        <v>422</v>
      </c>
      <c r="H10" s="255">
        <f t="shared" si="0"/>
        <v>0.10255164034021871</v>
      </c>
      <c r="I10" s="259"/>
      <c r="J10" s="268"/>
      <c r="K10" s="268"/>
      <c r="L10" s="268"/>
      <c r="M10" s="268"/>
      <c r="N10" s="268"/>
      <c r="O10" s="268"/>
      <c r="P10" s="268"/>
      <c r="Q10" s="268"/>
      <c r="R10" s="268"/>
      <c r="S10" s="268"/>
      <c r="T10" s="268"/>
      <c r="U10" s="268"/>
      <c r="V10" s="268"/>
      <c r="W10" s="268"/>
      <c r="X10" s="268"/>
      <c r="Y10" s="268"/>
      <c r="Z10" s="268"/>
      <c r="AA10" s="268"/>
      <c r="AB10" s="268"/>
      <c r="AC10" s="268"/>
      <c r="AD10" s="268"/>
      <c r="AE10" s="268"/>
      <c r="AF10" s="268"/>
      <c r="AG10" s="268"/>
      <c r="AH10" s="268"/>
      <c r="AI10" s="269"/>
    </row>
    <row r="11" spans="1:35">
      <c r="B11" s="267"/>
      <c r="C11" s="268"/>
      <c r="D11" s="268"/>
      <c r="E11" s="268"/>
      <c r="F11" s="248" t="s">
        <v>1382</v>
      </c>
      <c r="G11" s="249">
        <v>316</v>
      </c>
      <c r="H11" s="255">
        <f t="shared" si="0"/>
        <v>7.6792223572296481E-2</v>
      </c>
      <c r="I11" s="259"/>
      <c r="J11" s="268"/>
      <c r="K11" s="268"/>
      <c r="L11" s="268"/>
      <c r="M11" s="268"/>
      <c r="N11" s="268"/>
      <c r="O11" s="268"/>
      <c r="P11" s="268"/>
      <c r="Q11" s="268"/>
      <c r="R11" s="268"/>
      <c r="S11" s="268"/>
      <c r="T11" s="268"/>
      <c r="U11" s="268"/>
      <c r="V11" s="268"/>
      <c r="W11" s="268"/>
      <c r="X11" s="268"/>
      <c r="Y11" s="268"/>
      <c r="Z11" s="268"/>
      <c r="AA11" s="268"/>
      <c r="AB11" s="268"/>
      <c r="AC11" s="268"/>
      <c r="AD11" s="268"/>
      <c r="AE11" s="268"/>
      <c r="AF11" s="268"/>
      <c r="AG11" s="268"/>
      <c r="AH11" s="268"/>
      <c r="AI11" s="269"/>
    </row>
    <row r="12" spans="1:35">
      <c r="B12" s="267"/>
      <c r="C12" s="268"/>
      <c r="D12" s="268"/>
      <c r="E12" s="268"/>
      <c r="F12" s="248" t="s">
        <v>1383</v>
      </c>
      <c r="G12" s="249">
        <v>476</v>
      </c>
      <c r="H12" s="255">
        <f t="shared" si="0"/>
        <v>0.11567436208991494</v>
      </c>
      <c r="I12" s="259"/>
      <c r="J12" s="268"/>
      <c r="K12" s="268"/>
      <c r="L12" s="268"/>
      <c r="M12" s="268"/>
      <c r="N12" s="268"/>
      <c r="O12" s="268"/>
      <c r="P12" s="268"/>
      <c r="Q12" s="268"/>
      <c r="R12" s="268"/>
      <c r="S12" s="268"/>
      <c r="T12" s="268"/>
      <c r="U12" s="268"/>
      <c r="V12" s="268"/>
      <c r="W12" s="268"/>
      <c r="X12" s="268"/>
      <c r="Y12" s="268"/>
      <c r="Z12" s="268"/>
      <c r="AA12" s="268"/>
      <c r="AB12" s="268"/>
      <c r="AC12" s="268"/>
      <c r="AD12" s="268"/>
      <c r="AE12" s="268"/>
      <c r="AF12" s="268"/>
      <c r="AG12" s="268"/>
      <c r="AH12" s="268"/>
      <c r="AI12" s="269"/>
    </row>
    <row r="13" spans="1:35">
      <c r="B13" s="267"/>
      <c r="C13" s="268"/>
      <c r="D13" s="268"/>
      <c r="E13" s="268"/>
      <c r="F13" s="248" t="s">
        <v>1384</v>
      </c>
      <c r="G13" s="249">
        <v>174</v>
      </c>
      <c r="H13" s="255">
        <f t="shared" si="0"/>
        <v>4.2284325637910083E-2</v>
      </c>
      <c r="I13" s="259"/>
      <c r="J13" s="268"/>
      <c r="K13" s="268"/>
      <c r="L13" s="268"/>
      <c r="M13" s="268"/>
      <c r="N13" s="268"/>
      <c r="O13" s="268"/>
      <c r="P13" s="268"/>
      <c r="Q13" s="268"/>
      <c r="R13" s="268"/>
      <c r="S13" s="268"/>
      <c r="T13" s="268"/>
      <c r="U13" s="268"/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9"/>
    </row>
    <row r="14" spans="1:35">
      <c r="B14" s="267"/>
      <c r="C14" s="268"/>
      <c r="D14" s="268"/>
      <c r="E14" s="268"/>
      <c r="F14" s="254" t="s">
        <v>1385</v>
      </c>
      <c r="G14" s="276">
        <v>253</v>
      </c>
      <c r="H14" s="256">
        <f t="shared" si="0"/>
        <v>6.1482381530984204E-2</v>
      </c>
      <c r="I14" s="259"/>
      <c r="J14" s="268"/>
      <c r="K14" s="268"/>
      <c r="L14" s="268"/>
      <c r="M14" s="268"/>
      <c r="N14" s="268"/>
      <c r="O14" s="268"/>
      <c r="P14" s="268"/>
      <c r="Q14" s="268"/>
      <c r="R14" s="268"/>
      <c r="S14" s="268"/>
      <c r="T14" s="268"/>
      <c r="U14" s="268"/>
      <c r="V14" s="268"/>
      <c r="W14" s="268"/>
      <c r="X14" s="268"/>
      <c r="Y14" s="268"/>
      <c r="Z14" s="268"/>
      <c r="AA14" s="268"/>
      <c r="AB14" s="268"/>
      <c r="AC14" s="268"/>
      <c r="AD14" s="268"/>
      <c r="AE14" s="268"/>
      <c r="AF14" s="268"/>
      <c r="AG14" s="268"/>
      <c r="AH14" s="268"/>
      <c r="AI14" s="269"/>
    </row>
    <row r="15" spans="1:35">
      <c r="B15" s="267"/>
      <c r="C15" s="268"/>
      <c r="D15" s="268"/>
      <c r="E15" s="268"/>
      <c r="F15" s="268"/>
      <c r="G15" s="268"/>
      <c r="H15" s="268"/>
      <c r="I15" s="258"/>
      <c r="J15" s="268"/>
      <c r="K15" s="268"/>
      <c r="L15" s="268"/>
      <c r="M15" s="268"/>
      <c r="N15" s="268"/>
      <c r="O15" s="268"/>
      <c r="P15" s="268"/>
      <c r="Q15" s="268"/>
      <c r="R15" s="268"/>
      <c r="S15" s="268"/>
      <c r="T15" s="268"/>
      <c r="U15" s="268"/>
      <c r="V15" s="268"/>
      <c r="W15" s="268"/>
      <c r="X15" s="268"/>
      <c r="Y15" s="268"/>
      <c r="Z15" s="268"/>
      <c r="AA15" s="268"/>
      <c r="AB15" s="268"/>
      <c r="AC15" s="268"/>
      <c r="AD15" s="268"/>
      <c r="AE15" s="268"/>
      <c r="AF15" s="268"/>
      <c r="AG15" s="268"/>
      <c r="AH15" s="268"/>
      <c r="AI15" s="269"/>
    </row>
    <row r="16" spans="1:35">
      <c r="B16" s="267"/>
      <c r="C16" s="268"/>
      <c r="D16" s="268"/>
      <c r="E16" s="268"/>
      <c r="F16" s="268"/>
      <c r="G16" s="268"/>
      <c r="H16" s="268"/>
      <c r="I16" s="258"/>
      <c r="J16" s="268"/>
      <c r="K16" s="268"/>
      <c r="L16" s="268"/>
      <c r="M16" s="268"/>
      <c r="N16" s="268"/>
      <c r="O16" s="268"/>
      <c r="P16" s="268"/>
      <c r="Q16" s="268"/>
      <c r="R16" s="268"/>
      <c r="S16" s="268"/>
      <c r="T16" s="268"/>
      <c r="U16" s="268"/>
      <c r="V16" s="268"/>
      <c r="W16" s="268"/>
      <c r="X16" s="268"/>
      <c r="Y16" s="268"/>
      <c r="Z16" s="268"/>
      <c r="AA16" s="268"/>
      <c r="AB16" s="268"/>
      <c r="AC16" s="268"/>
      <c r="AD16" s="268"/>
      <c r="AE16" s="268"/>
      <c r="AF16" s="268"/>
      <c r="AG16" s="268"/>
      <c r="AH16" s="268"/>
      <c r="AI16" s="269"/>
    </row>
    <row r="17" spans="2:35" ht="15" thickBot="1">
      <c r="B17" s="271"/>
      <c r="C17" s="272"/>
      <c r="D17" s="272"/>
      <c r="E17" s="272"/>
      <c r="F17" s="272"/>
      <c r="G17" s="272"/>
      <c r="H17" s="272"/>
      <c r="I17" s="273"/>
      <c r="J17" s="272"/>
      <c r="K17" s="272"/>
      <c r="L17" s="272"/>
      <c r="M17" s="272"/>
      <c r="N17" s="272"/>
      <c r="O17" s="272"/>
      <c r="P17" s="272"/>
      <c r="Q17" s="272"/>
      <c r="R17" s="272"/>
      <c r="S17" s="272"/>
      <c r="T17" s="272"/>
      <c r="U17" s="272"/>
      <c r="V17" s="272"/>
      <c r="W17" s="272"/>
      <c r="X17" s="272"/>
      <c r="Y17" s="272"/>
      <c r="Z17" s="272"/>
      <c r="AA17" s="272"/>
      <c r="AB17" s="272"/>
      <c r="AC17" s="272"/>
      <c r="AD17" s="272"/>
      <c r="AE17" s="272"/>
      <c r="AF17" s="272"/>
      <c r="AG17" s="272"/>
      <c r="AH17" s="272"/>
      <c r="AI17" s="274"/>
    </row>
    <row r="20" spans="2:35" ht="15" thickBot="1">
      <c r="K20" s="253" t="s">
        <v>1387</v>
      </c>
      <c r="L20" s="252" t="s">
        <v>1373</v>
      </c>
      <c r="M20" s="252" t="s">
        <v>19</v>
      </c>
      <c r="N20" s="252" t="s">
        <v>1388</v>
      </c>
    </row>
    <row r="21" spans="2:35">
      <c r="K21" s="255">
        <f t="shared" ref="K21:K32" si="1">M21/$D$3</f>
        <v>8.9914945321992706E-2</v>
      </c>
      <c r="L21" s="251" t="s">
        <v>1374</v>
      </c>
      <c r="M21" s="275">
        <v>370</v>
      </c>
      <c r="N21" s="250">
        <v>342.91666666666669</v>
      </c>
    </row>
    <row r="22" spans="2:35">
      <c r="K22" s="255">
        <f t="shared" si="1"/>
        <v>0.10230862697448359</v>
      </c>
      <c r="L22" s="248" t="s">
        <v>1375</v>
      </c>
      <c r="M22" s="249">
        <v>421</v>
      </c>
      <c r="N22" s="250">
        <v>342.91666666666669</v>
      </c>
    </row>
    <row r="23" spans="2:35">
      <c r="K23" s="255">
        <f t="shared" si="1"/>
        <v>5.5893074119076548E-2</v>
      </c>
      <c r="L23" s="248" t="s">
        <v>1376</v>
      </c>
      <c r="M23" s="249">
        <v>230</v>
      </c>
      <c r="N23" s="250">
        <v>342.91666666666669</v>
      </c>
    </row>
    <row r="24" spans="2:35">
      <c r="K24" s="255">
        <f t="shared" si="1"/>
        <v>0.10935601458080195</v>
      </c>
      <c r="L24" s="248" t="s">
        <v>1377</v>
      </c>
      <c r="M24" s="249">
        <v>450</v>
      </c>
      <c r="N24" s="250">
        <v>342.91666666666669</v>
      </c>
    </row>
    <row r="25" spans="2:35">
      <c r="K25" s="255">
        <f t="shared" si="1"/>
        <v>9.3803159173754563E-2</v>
      </c>
      <c r="L25" s="248" t="s">
        <v>1378</v>
      </c>
      <c r="M25" s="249">
        <v>386</v>
      </c>
      <c r="N25" s="250">
        <v>342.91666666666669</v>
      </c>
    </row>
    <row r="26" spans="2:35">
      <c r="K26" s="255">
        <f t="shared" si="1"/>
        <v>3.7424058323207776E-2</v>
      </c>
      <c r="L26" s="248" t="s">
        <v>1379</v>
      </c>
      <c r="M26" s="249">
        <v>154</v>
      </c>
      <c r="N26" s="250">
        <v>342.91666666666669</v>
      </c>
    </row>
    <row r="27" spans="2:35">
      <c r="K27" s="255">
        <f t="shared" si="1"/>
        <v>0.11251518833535845</v>
      </c>
      <c r="L27" s="248" t="s">
        <v>1380</v>
      </c>
      <c r="M27" s="249">
        <v>463</v>
      </c>
      <c r="N27" s="250">
        <v>342.91666666666669</v>
      </c>
    </row>
    <row r="28" spans="2:35">
      <c r="K28" s="255">
        <f t="shared" si="1"/>
        <v>0.10255164034021871</v>
      </c>
      <c r="L28" s="248" t="s">
        <v>1381</v>
      </c>
      <c r="M28" s="249">
        <v>422</v>
      </c>
      <c r="N28" s="250">
        <v>342.91666666666669</v>
      </c>
    </row>
    <row r="29" spans="2:35">
      <c r="K29" s="255">
        <f t="shared" si="1"/>
        <v>7.6792223572296481E-2</v>
      </c>
      <c r="L29" s="248" t="s">
        <v>1382</v>
      </c>
      <c r="M29" s="249">
        <v>316</v>
      </c>
      <c r="N29" s="250">
        <v>342.91666666666669</v>
      </c>
    </row>
    <row r="30" spans="2:35">
      <c r="K30" s="255">
        <f t="shared" si="1"/>
        <v>0.11567436208991494</v>
      </c>
      <c r="L30" s="248" t="s">
        <v>1383</v>
      </c>
      <c r="M30" s="249">
        <v>476</v>
      </c>
      <c r="N30" s="250">
        <v>342.91666666666669</v>
      </c>
    </row>
    <row r="31" spans="2:35">
      <c r="K31" s="255">
        <f t="shared" si="1"/>
        <v>4.2284325637910083E-2</v>
      </c>
      <c r="L31" s="248" t="s">
        <v>1384</v>
      </c>
      <c r="M31" s="249">
        <v>174</v>
      </c>
      <c r="N31" s="250">
        <v>342.91666666666669</v>
      </c>
    </row>
    <row r="32" spans="2:35">
      <c r="K32" s="256">
        <f t="shared" si="1"/>
        <v>6.1482381530984204E-2</v>
      </c>
      <c r="L32" s="254" t="s">
        <v>1385</v>
      </c>
      <c r="M32" s="276">
        <v>253</v>
      </c>
      <c r="N32" s="250">
        <v>342.91666666666669</v>
      </c>
    </row>
  </sheetData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5A8F3-3B3B-4A86-A78A-28169EA37990}">
  <sheetPr codeName="Sheet2">
    <tabColor theme="7" tint="0.39997558519241921"/>
  </sheetPr>
  <dimension ref="A1:AD19"/>
  <sheetViews>
    <sheetView showGridLines="0" topLeftCell="I1" workbookViewId="0">
      <selection activeCell="P3" sqref="P3"/>
    </sheetView>
  </sheetViews>
  <sheetFormatPr defaultRowHeight="14.4"/>
  <cols>
    <col min="1" max="1" width="79.109375" customWidth="1"/>
    <col min="3" max="3" width="13.109375" bestFit="1" customWidth="1"/>
    <col min="4" max="4" width="15.88671875" bestFit="1" customWidth="1"/>
    <col min="6" max="6" width="10.44140625" bestFit="1" customWidth="1"/>
    <col min="7" max="7" width="15.88671875" bestFit="1" customWidth="1"/>
    <col min="8" max="8" width="13.33203125" bestFit="1" customWidth="1"/>
    <col min="10" max="10" width="18" bestFit="1" customWidth="1"/>
    <col min="12" max="12" width="13.88671875" bestFit="1" customWidth="1"/>
    <col min="13" max="13" width="15.88671875" bestFit="1" customWidth="1"/>
  </cols>
  <sheetData>
    <row r="1" spans="1:30" ht="15" thickBot="1">
      <c r="A1" s="277" t="s">
        <v>1389</v>
      </c>
      <c r="C1" s="287" t="s">
        <v>1390</v>
      </c>
      <c r="D1" s="284" t="s">
        <v>1391</v>
      </c>
      <c r="F1" s="279" t="s">
        <v>1393</v>
      </c>
      <c r="G1" s="280" t="s">
        <v>1394</v>
      </c>
      <c r="H1" s="281" t="s">
        <v>1395</v>
      </c>
      <c r="J1" s="283" t="s">
        <v>1408</v>
      </c>
      <c r="L1" s="287" t="s">
        <v>38</v>
      </c>
      <c r="M1" s="285">
        <f>D2-SUM(G2:G13)</f>
        <v>5600</v>
      </c>
      <c r="N1" s="288">
        <f>IF(D2-SUM(G2:G13)&lt;0,0,D2-SUM(G2:G13))</f>
        <v>5600</v>
      </c>
    </row>
    <row r="2" spans="1:30">
      <c r="C2" s="287" t="s">
        <v>1392</v>
      </c>
      <c r="D2" s="282">
        <v>50000</v>
      </c>
      <c r="F2" s="208" t="s">
        <v>1396</v>
      </c>
      <c r="G2" s="282">
        <v>3500</v>
      </c>
      <c r="H2" s="282">
        <f>SUM($G$2:G2)</f>
        <v>3500</v>
      </c>
      <c r="L2" s="287" t="s">
        <v>1409</v>
      </c>
      <c r="M2" s="285">
        <f>SUM(G2:G13)</f>
        <v>44400</v>
      </c>
      <c r="N2" s="288">
        <f>IF(SUM(G2:G13)&gt;D2,D2,SUM(G2:G13))</f>
        <v>44400</v>
      </c>
    </row>
    <row r="3" spans="1:30">
      <c r="F3" s="208" t="s">
        <v>1397</v>
      </c>
      <c r="G3" s="282">
        <v>2500</v>
      </c>
      <c r="H3" s="282">
        <f>SUM($G$2:G3)</f>
        <v>6000</v>
      </c>
      <c r="L3" s="287" t="s">
        <v>1410</v>
      </c>
      <c r="M3" s="286">
        <f>M2/D2</f>
        <v>0.88800000000000001</v>
      </c>
    </row>
    <row r="4" spans="1:30">
      <c r="F4" s="208" t="s">
        <v>1398</v>
      </c>
      <c r="G4" s="282">
        <v>1700</v>
      </c>
      <c r="H4" s="282">
        <f>SUM($G$2:G4)</f>
        <v>7700</v>
      </c>
      <c r="P4" s="206"/>
      <c r="Q4" s="206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  <c r="AD4" s="206"/>
    </row>
    <row r="5" spans="1:30">
      <c r="F5" s="208" t="s">
        <v>1399</v>
      </c>
      <c r="G5" s="282">
        <v>1200</v>
      </c>
      <c r="H5" s="282">
        <f>SUM($G$2:G5)</f>
        <v>8900</v>
      </c>
      <c r="P5" s="206"/>
      <c r="Q5" s="206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  <c r="AD5" s="206"/>
    </row>
    <row r="6" spans="1:30">
      <c r="F6" s="208" t="s">
        <v>1400</v>
      </c>
      <c r="G6" s="282">
        <v>1500</v>
      </c>
      <c r="H6" s="282">
        <f>SUM($G$2:G6)</f>
        <v>10400</v>
      </c>
      <c r="P6" s="206"/>
      <c r="Q6" s="206"/>
      <c r="R6" s="206"/>
      <c r="S6" s="206"/>
      <c r="T6" s="206"/>
      <c r="U6" s="206"/>
      <c r="V6" s="206"/>
      <c r="W6" s="206"/>
      <c r="X6" s="206"/>
      <c r="Y6" s="206"/>
      <c r="Z6" s="206"/>
      <c r="AA6" s="206"/>
      <c r="AB6" s="206"/>
      <c r="AC6" s="206"/>
      <c r="AD6" s="206"/>
    </row>
    <row r="7" spans="1:30">
      <c r="F7" s="208" t="s">
        <v>1401</v>
      </c>
      <c r="G7" s="282">
        <v>4000</v>
      </c>
      <c r="H7" s="282">
        <f>SUM($G$2:G7)</f>
        <v>14400</v>
      </c>
      <c r="P7" s="206"/>
      <c r="Q7" s="206"/>
      <c r="R7" s="206"/>
      <c r="S7" s="206"/>
      <c r="T7" s="206"/>
      <c r="U7" s="206"/>
      <c r="V7" s="206"/>
      <c r="W7" s="206"/>
      <c r="X7" s="206"/>
      <c r="Y7" s="206"/>
      <c r="Z7" s="206"/>
      <c r="AA7" s="206"/>
      <c r="AB7" s="206"/>
      <c r="AC7" s="206"/>
      <c r="AD7" s="206"/>
    </row>
    <row r="8" spans="1:30">
      <c r="F8" s="208" t="s">
        <v>1402</v>
      </c>
      <c r="G8" s="282">
        <v>5000</v>
      </c>
      <c r="H8" s="282">
        <f>SUM($G$2:G8)</f>
        <v>19400</v>
      </c>
      <c r="P8" s="206"/>
      <c r="Q8" s="206"/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  <c r="AD8" s="206"/>
    </row>
    <row r="9" spans="1:30">
      <c r="F9" s="208" t="s">
        <v>1403</v>
      </c>
      <c r="G9" s="282">
        <v>6000</v>
      </c>
      <c r="H9" s="282">
        <f>SUM($G$2:G9)</f>
        <v>25400</v>
      </c>
      <c r="P9" s="206"/>
      <c r="Q9" s="206"/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  <c r="AD9" s="206"/>
    </row>
    <row r="10" spans="1:30">
      <c r="F10" s="208" t="s">
        <v>1404</v>
      </c>
      <c r="G10" s="282">
        <v>7000</v>
      </c>
      <c r="H10" s="282">
        <f>SUM($G$2:G10)</f>
        <v>32400</v>
      </c>
      <c r="P10" s="206"/>
      <c r="Q10" s="206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  <c r="AD10" s="206"/>
    </row>
    <row r="11" spans="1:30">
      <c r="F11" s="208" t="s">
        <v>1405</v>
      </c>
      <c r="G11" s="282">
        <v>5000</v>
      </c>
      <c r="H11" s="282">
        <f>SUM($G$2:G11)</f>
        <v>37400</v>
      </c>
      <c r="P11" s="206"/>
      <c r="Q11" s="206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  <c r="AD11" s="206"/>
    </row>
    <row r="12" spans="1:30">
      <c r="F12" s="208" t="s">
        <v>1406</v>
      </c>
      <c r="G12" s="282">
        <v>2000</v>
      </c>
      <c r="H12" s="282">
        <f>SUM($G$2:G12)</f>
        <v>39400</v>
      </c>
      <c r="P12" s="206"/>
      <c r="Q12" s="206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  <c r="AD12" s="206"/>
    </row>
    <row r="13" spans="1:30">
      <c r="F13" s="208" t="s">
        <v>1407</v>
      </c>
      <c r="G13" s="282">
        <v>5000</v>
      </c>
      <c r="H13" s="282">
        <f>SUM($G$2:G13)</f>
        <v>44400</v>
      </c>
      <c r="P13" s="206"/>
      <c r="Q13" s="206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  <c r="AD13" s="206"/>
    </row>
    <row r="14" spans="1:30">
      <c r="G14" s="278"/>
      <c r="P14" s="206"/>
      <c r="Q14" s="206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  <c r="AD14" s="206"/>
    </row>
    <row r="15" spans="1:30">
      <c r="P15" s="206"/>
      <c r="Q15" s="206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  <c r="AD15" s="206"/>
    </row>
    <row r="16" spans="1:30">
      <c r="P16" s="206"/>
      <c r="Q16" s="206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  <c r="AD16" s="206"/>
    </row>
    <row r="17" spans="16:30">
      <c r="P17" s="206"/>
      <c r="Q17" s="206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  <c r="AD17" s="206"/>
    </row>
    <row r="18" spans="16:30">
      <c r="P18" s="206"/>
      <c r="Q18" s="206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  <c r="AD18" s="206"/>
    </row>
    <row r="19" spans="16:30">
      <c r="P19" s="206"/>
      <c r="Q19" s="206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  <c r="AD19" s="206"/>
    </row>
  </sheetData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7CD3E-FDC4-4BCD-BA96-E5851B9CE475}">
  <sheetPr codeName="Planilha15"/>
  <dimension ref="A1:E13"/>
  <sheetViews>
    <sheetView zoomScaleNormal="100" workbookViewId="0">
      <selection activeCell="F13" sqref="F13"/>
    </sheetView>
  </sheetViews>
  <sheetFormatPr defaultColWidth="9.109375" defaultRowHeight="13.8"/>
  <cols>
    <col min="1" max="1" width="18.44140625" style="148" customWidth="1"/>
    <col min="2" max="3" width="9.109375" style="148"/>
    <col min="4" max="4" width="13.88671875" style="148" customWidth="1"/>
    <col min="5" max="16384" width="9.109375" style="148"/>
  </cols>
  <sheetData>
    <row r="1" spans="1:5">
      <c r="A1" s="146" t="s">
        <v>1170</v>
      </c>
      <c r="B1" s="147" t="s">
        <v>1171</v>
      </c>
    </row>
    <row r="2" spans="1:5">
      <c r="A2" s="148" t="s">
        <v>1172</v>
      </c>
      <c r="B2" s="148">
        <v>162</v>
      </c>
      <c r="D2" s="147" t="s">
        <v>1173</v>
      </c>
      <c r="E2" s="147" t="s">
        <v>1171</v>
      </c>
    </row>
    <row r="3" spans="1:5">
      <c r="A3" s="148" t="s">
        <v>1174</v>
      </c>
      <c r="B3" s="148">
        <v>142</v>
      </c>
      <c r="D3" s="148" t="s">
        <v>1175</v>
      </c>
    </row>
    <row r="4" spans="1:5">
      <c r="A4" s="148" t="s">
        <v>1176</v>
      </c>
      <c r="B4" s="148">
        <v>220</v>
      </c>
      <c r="D4" s="148" t="s">
        <v>1174</v>
      </c>
    </row>
    <row r="5" spans="1:5">
      <c r="A5" s="148" t="s">
        <v>1172</v>
      </c>
      <c r="B5" s="148">
        <v>314</v>
      </c>
      <c r="D5" s="148" t="s">
        <v>1176</v>
      </c>
    </row>
    <row r="6" spans="1:5">
      <c r="A6" s="148" t="s">
        <v>1176</v>
      </c>
      <c r="B6" s="148">
        <v>139</v>
      </c>
    </row>
    <row r="7" spans="1:5">
      <c r="A7" s="148" t="s">
        <v>1176</v>
      </c>
      <c r="B7" s="148">
        <v>453</v>
      </c>
    </row>
    <row r="8" spans="1:5">
      <c r="A8" s="148" t="s">
        <v>1176</v>
      </c>
      <c r="B8" s="148">
        <v>296</v>
      </c>
    </row>
    <row r="9" spans="1:5">
      <c r="A9" s="148" t="s">
        <v>1177</v>
      </c>
      <c r="B9" s="148">
        <v>154</v>
      </c>
    </row>
    <row r="10" spans="1:5">
      <c r="A10" s="148" t="s">
        <v>1178</v>
      </c>
      <c r="B10" s="148">
        <v>232</v>
      </c>
    </row>
    <row r="11" spans="1:5">
      <c r="A11" s="148" t="s">
        <v>1178</v>
      </c>
      <c r="B11" s="148">
        <v>468</v>
      </c>
    </row>
    <row r="12" spans="1:5">
      <c r="A12" s="148" t="s">
        <v>1174</v>
      </c>
      <c r="B12" s="148">
        <v>213</v>
      </c>
    </row>
    <row r="13" spans="1:5">
      <c r="A13" s="148" t="s">
        <v>1174</v>
      </c>
      <c r="B13" s="148">
        <v>106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209F3-90D3-49A3-8005-E65E133C21DE}">
  <sheetPr codeName="Planilha16"/>
  <dimension ref="B2:O29"/>
  <sheetViews>
    <sheetView topLeftCell="A2" zoomScaleNormal="100" workbookViewId="0">
      <selection activeCell="E11" sqref="E11"/>
    </sheetView>
  </sheetViews>
  <sheetFormatPr defaultColWidth="9.6640625" defaultRowHeight="18" customHeight="1"/>
  <cols>
    <col min="1" max="1" width="4.44140625" style="111" customWidth="1"/>
    <col min="2" max="3" width="12.6640625" style="111" customWidth="1"/>
    <col min="4" max="4" width="14.109375" style="111" bestFit="1" customWidth="1"/>
    <col min="5" max="7" width="9.6640625" style="111"/>
    <col min="8" max="8" width="13.88671875" style="111" customWidth="1"/>
    <col min="9" max="16384" width="9.6640625" style="111"/>
  </cols>
  <sheetData>
    <row r="2" spans="2:15" ht="18" customHeight="1">
      <c r="B2" s="111" t="s">
        <v>1103</v>
      </c>
    </row>
    <row r="3" spans="2:15" ht="18" customHeight="1">
      <c r="B3" s="111" t="s">
        <v>1104</v>
      </c>
      <c r="K3" s="346" t="s">
        <v>1105</v>
      </c>
      <c r="L3" s="346"/>
      <c r="M3" s="346"/>
      <c r="N3" s="346"/>
      <c r="O3" s="346"/>
    </row>
    <row r="4" spans="2:15" ht="18" customHeight="1">
      <c r="B4" s="128" t="s">
        <v>1096</v>
      </c>
      <c r="C4" s="128" t="s">
        <v>1106</v>
      </c>
      <c r="D4" s="128" t="s">
        <v>1107</v>
      </c>
      <c r="F4" s="347" t="s">
        <v>1108</v>
      </c>
      <c r="G4" s="347"/>
      <c r="H4" s="349"/>
      <c r="K4" s="346"/>
      <c r="L4" s="346"/>
      <c r="M4" s="346"/>
      <c r="N4" s="346"/>
      <c r="O4" s="346"/>
    </row>
    <row r="5" spans="2:15" ht="18" customHeight="1">
      <c r="B5" s="129">
        <v>44234</v>
      </c>
      <c r="C5" s="130">
        <v>94</v>
      </c>
      <c r="D5" s="130" t="s">
        <v>1109</v>
      </c>
      <c r="F5" s="348"/>
      <c r="G5" s="348"/>
      <c r="H5" s="350"/>
      <c r="K5" s="346"/>
      <c r="L5" s="346"/>
      <c r="M5" s="346"/>
      <c r="N5" s="346"/>
      <c r="O5" s="346"/>
    </row>
    <row r="6" spans="2:15" ht="18" customHeight="1">
      <c r="B6" s="129">
        <v>44235</v>
      </c>
      <c r="C6" s="130">
        <v>93</v>
      </c>
      <c r="D6" s="130" t="s">
        <v>1110</v>
      </c>
      <c r="K6" s="131"/>
      <c r="L6" s="131"/>
    </row>
    <row r="7" spans="2:15" ht="18" customHeight="1">
      <c r="B7" s="129">
        <v>44236</v>
      </c>
      <c r="C7" s="130">
        <v>143</v>
      </c>
      <c r="D7" s="130" t="s">
        <v>1109</v>
      </c>
    </row>
    <row r="8" spans="2:15" ht="18" customHeight="1">
      <c r="B8" s="129">
        <v>44237</v>
      </c>
      <c r="C8" s="130">
        <v>65</v>
      </c>
      <c r="D8" s="130" t="s">
        <v>1111</v>
      </c>
    </row>
    <row r="9" spans="2:15" ht="18" customHeight="1">
      <c r="B9" s="129">
        <v>44238</v>
      </c>
      <c r="C9" s="130">
        <v>150</v>
      </c>
      <c r="D9" s="130" t="s">
        <v>1112</v>
      </c>
      <c r="F9" s="110"/>
    </row>
    <row r="10" spans="2:15" ht="18" customHeight="1">
      <c r="B10" s="129">
        <v>44239</v>
      </c>
      <c r="C10" s="130">
        <v>85</v>
      </c>
      <c r="D10" s="130" t="s">
        <v>1110</v>
      </c>
    </row>
    <row r="11" spans="2:15" ht="18" customHeight="1">
      <c r="B11" s="129">
        <v>44242</v>
      </c>
      <c r="C11" s="130">
        <v>68</v>
      </c>
      <c r="D11" s="130" t="s">
        <v>1112</v>
      </c>
    </row>
    <row r="12" spans="2:15" ht="18" customHeight="1">
      <c r="B12" s="129">
        <v>44243</v>
      </c>
      <c r="C12" s="130">
        <v>134</v>
      </c>
      <c r="D12" s="130" t="s">
        <v>1109</v>
      </c>
    </row>
    <row r="13" spans="2:15" ht="18" customHeight="1">
      <c r="B13" s="129">
        <v>44244</v>
      </c>
      <c r="C13" s="130">
        <v>106</v>
      </c>
      <c r="D13" s="130" t="s">
        <v>1111</v>
      </c>
    </row>
    <row r="14" spans="2:15" ht="18" customHeight="1">
      <c r="B14" s="129">
        <v>44245</v>
      </c>
      <c r="C14" s="130">
        <v>79</v>
      </c>
      <c r="D14" s="130" t="s">
        <v>1111</v>
      </c>
    </row>
    <row r="15" spans="2:15" ht="18" customHeight="1">
      <c r="B15" s="129">
        <v>44246</v>
      </c>
      <c r="C15" s="130">
        <v>149</v>
      </c>
      <c r="D15" s="130" t="s">
        <v>1111</v>
      </c>
    </row>
    <row r="16" spans="2:15" ht="18" customHeight="1">
      <c r="B16" s="129">
        <v>44249</v>
      </c>
      <c r="C16" s="130">
        <v>90</v>
      </c>
      <c r="D16" s="130" t="s">
        <v>1112</v>
      </c>
    </row>
    <row r="17" spans="2:4" ht="18" customHeight="1">
      <c r="B17" s="129">
        <v>44250</v>
      </c>
      <c r="C17" s="130">
        <v>48</v>
      </c>
      <c r="D17" s="130" t="s">
        <v>1109</v>
      </c>
    </row>
    <row r="18" spans="2:4" ht="18" customHeight="1">
      <c r="B18" s="129">
        <v>44251</v>
      </c>
      <c r="C18" s="130">
        <v>119</v>
      </c>
      <c r="D18" s="130" t="s">
        <v>1111</v>
      </c>
    </row>
    <row r="19" spans="2:4" ht="18" customHeight="1">
      <c r="B19" s="129">
        <v>44252</v>
      </c>
      <c r="C19" s="130">
        <v>139</v>
      </c>
      <c r="D19" s="130" t="s">
        <v>1111</v>
      </c>
    </row>
    <row r="20" spans="2:4" ht="18" customHeight="1">
      <c r="B20" s="129">
        <v>44253</v>
      </c>
      <c r="C20" s="130">
        <v>84</v>
      </c>
      <c r="D20" s="130" t="s">
        <v>1110</v>
      </c>
    </row>
    <row r="21" spans="2:4" ht="18" customHeight="1">
      <c r="B21" s="129">
        <v>44256</v>
      </c>
      <c r="C21" s="130">
        <v>118</v>
      </c>
      <c r="D21" s="130" t="s">
        <v>1112</v>
      </c>
    </row>
    <row r="22" spans="2:4" ht="18" customHeight="1">
      <c r="B22" s="129">
        <v>44257</v>
      </c>
      <c r="C22" s="130">
        <v>106</v>
      </c>
      <c r="D22" s="130" t="s">
        <v>1112</v>
      </c>
    </row>
    <row r="23" spans="2:4" ht="18" customHeight="1">
      <c r="B23" s="129">
        <v>44258</v>
      </c>
      <c r="C23" s="130">
        <v>57</v>
      </c>
      <c r="D23" s="130" t="s">
        <v>1112</v>
      </c>
    </row>
    <row r="24" spans="2:4" ht="18" customHeight="1">
      <c r="B24" s="129">
        <v>44259</v>
      </c>
      <c r="C24" s="130">
        <v>82</v>
      </c>
      <c r="D24" s="130" t="s">
        <v>1109</v>
      </c>
    </row>
    <row r="25" spans="2:4" ht="18" customHeight="1">
      <c r="B25" s="129">
        <v>44260</v>
      </c>
      <c r="C25" s="130">
        <v>98</v>
      </c>
      <c r="D25" s="130" t="s">
        <v>1111</v>
      </c>
    </row>
    <row r="26" spans="2:4" ht="18" customHeight="1">
      <c r="B26" s="129"/>
    </row>
    <row r="27" spans="2:4" ht="18" customHeight="1">
      <c r="B27" s="129"/>
    </row>
    <row r="28" spans="2:4" ht="18" customHeight="1">
      <c r="B28" s="129"/>
    </row>
    <row r="29" spans="2:4" ht="18" customHeight="1">
      <c r="B29" s="129"/>
    </row>
  </sheetData>
  <mergeCells count="3">
    <mergeCell ref="K3:O5"/>
    <mergeCell ref="F4:G5"/>
    <mergeCell ref="H4:H5"/>
  </mergeCells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F3F38-44B9-44C7-9732-39FE0D0822F0}">
  <sheetPr codeName="Planilha17"/>
  <dimension ref="B1:I26"/>
  <sheetViews>
    <sheetView zoomScaleNormal="100" workbookViewId="0">
      <selection activeCell="E17" sqref="E17"/>
    </sheetView>
  </sheetViews>
  <sheetFormatPr defaultColWidth="9.6640625" defaultRowHeight="18" customHeight="1"/>
  <cols>
    <col min="1" max="1" width="4.44140625" style="131" customWidth="1"/>
    <col min="2" max="3" width="12.6640625" style="131" customWidth="1"/>
    <col min="4" max="4" width="14.109375" style="131" bestFit="1" customWidth="1"/>
    <col min="5" max="5" width="9.6640625" style="131"/>
    <col min="6" max="7" width="15.6640625" style="131" customWidth="1"/>
    <col min="8" max="8" width="19.44140625" style="131" customWidth="1"/>
    <col min="9" max="16384" width="9.6640625" style="131"/>
  </cols>
  <sheetData>
    <row r="1" spans="2:9" ht="18" customHeight="1">
      <c r="F1" s="131" t="s">
        <v>1134</v>
      </c>
    </row>
    <row r="2" spans="2:9" ht="18" customHeight="1">
      <c r="B2" s="111" t="s">
        <v>1135</v>
      </c>
      <c r="C2" s="111"/>
      <c r="D2" s="111"/>
      <c r="E2" s="111"/>
      <c r="F2" s="111" t="s">
        <v>1136</v>
      </c>
      <c r="G2" s="111"/>
      <c r="H2" s="111"/>
      <c r="I2" s="111"/>
    </row>
    <row r="3" spans="2:9" ht="18" customHeight="1">
      <c r="B3" s="111" t="s">
        <v>1137</v>
      </c>
      <c r="C3" s="111"/>
      <c r="D3" s="111"/>
      <c r="E3" s="111"/>
      <c r="F3" s="111" t="s">
        <v>1138</v>
      </c>
      <c r="G3" s="111"/>
      <c r="H3" s="111"/>
      <c r="I3" s="111"/>
    </row>
    <row r="4" spans="2:9" ht="18" customHeight="1">
      <c r="B4" s="128" t="s">
        <v>1096</v>
      </c>
      <c r="C4" s="128" t="s">
        <v>1106</v>
      </c>
      <c r="D4" s="128" t="s">
        <v>1107</v>
      </c>
      <c r="E4" s="111"/>
      <c r="F4" s="347" t="s">
        <v>1139</v>
      </c>
      <c r="G4" s="347"/>
      <c r="H4" s="351"/>
      <c r="I4" s="111"/>
    </row>
    <row r="5" spans="2:9" ht="18" customHeight="1">
      <c r="B5" s="129">
        <v>44234</v>
      </c>
      <c r="C5" s="130">
        <v>94</v>
      </c>
      <c r="D5" s="130" t="s">
        <v>1109</v>
      </c>
      <c r="E5" s="111"/>
      <c r="F5" s="348"/>
      <c r="G5" s="348"/>
      <c r="H5" s="352"/>
      <c r="I5" s="111"/>
    </row>
    <row r="6" spans="2:9" ht="18" customHeight="1">
      <c r="B6" s="129">
        <v>44235</v>
      </c>
      <c r="C6" s="130">
        <v>93</v>
      </c>
      <c r="D6" s="130" t="s">
        <v>1110</v>
      </c>
      <c r="E6" s="111"/>
      <c r="F6" s="111"/>
      <c r="G6" s="111"/>
      <c r="H6" s="111"/>
      <c r="I6" s="111"/>
    </row>
    <row r="7" spans="2:9" ht="18" customHeight="1">
      <c r="B7" s="129">
        <v>44236</v>
      </c>
      <c r="C7" s="130">
        <v>143</v>
      </c>
      <c r="D7" s="130" t="s">
        <v>1109</v>
      </c>
      <c r="E7" s="111"/>
      <c r="F7" s="111"/>
      <c r="G7" s="111"/>
      <c r="H7" s="111"/>
      <c r="I7" s="111"/>
    </row>
    <row r="8" spans="2:9" ht="18" customHeight="1">
      <c r="B8" s="129">
        <v>44237</v>
      </c>
      <c r="C8" s="130">
        <v>65</v>
      </c>
      <c r="D8" s="130" t="s">
        <v>1111</v>
      </c>
      <c r="E8" s="111"/>
      <c r="F8" s="134"/>
      <c r="G8" s="111"/>
      <c r="H8" s="111"/>
      <c r="I8" s="111"/>
    </row>
    <row r="9" spans="2:9" ht="18" customHeight="1">
      <c r="B9" s="129">
        <v>44238</v>
      </c>
      <c r="C9" s="130">
        <v>150</v>
      </c>
      <c r="D9" s="130" t="s">
        <v>1112</v>
      </c>
      <c r="E9" s="111"/>
      <c r="F9" s="111"/>
      <c r="G9" s="111"/>
      <c r="H9" s="111"/>
      <c r="I9" s="111"/>
    </row>
    <row r="10" spans="2:9" ht="18" customHeight="1">
      <c r="B10" s="129">
        <v>44239</v>
      </c>
      <c r="C10" s="130">
        <v>85</v>
      </c>
      <c r="D10" s="130" t="s">
        <v>1110</v>
      </c>
      <c r="E10" s="111"/>
      <c r="F10" s="111"/>
      <c r="G10" s="111"/>
      <c r="H10" s="111"/>
      <c r="I10" s="111"/>
    </row>
    <row r="11" spans="2:9" ht="18" customHeight="1">
      <c r="B11" s="129">
        <v>44242</v>
      </c>
      <c r="C11" s="130">
        <v>68</v>
      </c>
      <c r="D11" s="130" t="s">
        <v>1112</v>
      </c>
      <c r="E11" s="111"/>
      <c r="F11" s="111"/>
      <c r="G11" s="111"/>
      <c r="H11" s="111"/>
      <c r="I11" s="111"/>
    </row>
    <row r="12" spans="2:9" ht="18" customHeight="1">
      <c r="B12" s="129">
        <v>44243</v>
      </c>
      <c r="C12" s="130">
        <v>134</v>
      </c>
      <c r="D12" s="130" t="s">
        <v>1109</v>
      </c>
      <c r="E12" s="111"/>
      <c r="F12" s="111"/>
      <c r="G12" s="111"/>
      <c r="H12" s="111"/>
      <c r="I12" s="111"/>
    </row>
    <row r="13" spans="2:9" ht="18" customHeight="1">
      <c r="B13" s="129">
        <v>44244</v>
      </c>
      <c r="C13" s="130">
        <v>106</v>
      </c>
      <c r="D13" s="130" t="s">
        <v>1111</v>
      </c>
      <c r="E13" s="111"/>
      <c r="F13" s="111"/>
      <c r="G13" s="111"/>
      <c r="H13" s="111"/>
      <c r="I13" s="111"/>
    </row>
    <row r="14" spans="2:9" ht="18" customHeight="1">
      <c r="B14" s="129">
        <v>44245</v>
      </c>
      <c r="C14" s="130">
        <v>79</v>
      </c>
      <c r="D14" s="130" t="s">
        <v>1111</v>
      </c>
      <c r="E14" s="111"/>
      <c r="F14" s="111"/>
      <c r="G14" s="111"/>
      <c r="H14" s="111"/>
      <c r="I14" s="111"/>
    </row>
    <row r="15" spans="2:9" ht="18" customHeight="1">
      <c r="B15" s="129">
        <v>44246</v>
      </c>
      <c r="C15" s="130">
        <v>149</v>
      </c>
      <c r="D15" s="130" t="s">
        <v>1111</v>
      </c>
      <c r="E15" s="111"/>
      <c r="F15" s="111"/>
      <c r="G15" s="111"/>
      <c r="H15" s="111"/>
      <c r="I15" s="111"/>
    </row>
    <row r="16" spans="2:9" ht="18" customHeight="1">
      <c r="B16" s="129">
        <v>44249</v>
      </c>
      <c r="C16" s="130">
        <v>90</v>
      </c>
      <c r="D16" s="130" t="s">
        <v>1112</v>
      </c>
      <c r="E16" s="111"/>
      <c r="F16" s="111"/>
      <c r="G16" s="111"/>
      <c r="H16" s="111"/>
      <c r="I16" s="111"/>
    </row>
    <row r="17" spans="2:9" ht="18" customHeight="1">
      <c r="B17" s="129">
        <v>44250</v>
      </c>
      <c r="C17" s="130">
        <v>48</v>
      </c>
      <c r="D17" s="130" t="s">
        <v>1109</v>
      </c>
      <c r="E17" s="111"/>
      <c r="F17" s="111"/>
      <c r="G17" s="111"/>
      <c r="H17" s="111"/>
      <c r="I17" s="111"/>
    </row>
    <row r="18" spans="2:9" ht="18" customHeight="1">
      <c r="B18" s="129">
        <v>44251</v>
      </c>
      <c r="C18" s="130">
        <v>119</v>
      </c>
      <c r="D18" s="130" t="s">
        <v>1111</v>
      </c>
      <c r="E18" s="111"/>
      <c r="F18" s="111"/>
      <c r="G18" s="111"/>
      <c r="H18" s="111"/>
      <c r="I18" s="111"/>
    </row>
    <row r="19" spans="2:9" ht="18" customHeight="1">
      <c r="B19" s="129">
        <v>44252</v>
      </c>
      <c r="C19" s="130">
        <v>139</v>
      </c>
      <c r="D19" s="130" t="s">
        <v>1111</v>
      </c>
      <c r="E19" s="111"/>
      <c r="F19" s="111"/>
      <c r="G19" s="111"/>
      <c r="H19" s="111"/>
      <c r="I19" s="111"/>
    </row>
    <row r="20" spans="2:9" ht="18" customHeight="1">
      <c r="B20" s="129">
        <v>44253</v>
      </c>
      <c r="C20" s="130">
        <v>84</v>
      </c>
      <c r="D20" s="130" t="s">
        <v>1110</v>
      </c>
      <c r="E20" s="111"/>
      <c r="F20" s="111"/>
      <c r="G20" s="111"/>
      <c r="H20" s="111"/>
      <c r="I20" s="111"/>
    </row>
    <row r="21" spans="2:9" ht="18" customHeight="1">
      <c r="B21" s="129">
        <v>44256</v>
      </c>
      <c r="C21" s="130">
        <v>118</v>
      </c>
      <c r="D21" s="130" t="s">
        <v>1112</v>
      </c>
      <c r="E21" s="111"/>
      <c r="F21" s="111"/>
      <c r="G21" s="111"/>
      <c r="H21" s="111"/>
      <c r="I21" s="111"/>
    </row>
    <row r="22" spans="2:9" ht="18" customHeight="1">
      <c r="B22" s="129">
        <v>44257</v>
      </c>
      <c r="C22" s="130">
        <v>106</v>
      </c>
      <c r="D22" s="130" t="s">
        <v>1112</v>
      </c>
      <c r="E22" s="111"/>
      <c r="F22" s="111"/>
      <c r="G22" s="111"/>
      <c r="H22" s="111"/>
      <c r="I22" s="111"/>
    </row>
    <row r="23" spans="2:9" ht="18" customHeight="1">
      <c r="B23" s="129">
        <v>44258</v>
      </c>
      <c r="C23" s="130">
        <v>57</v>
      </c>
      <c r="D23" s="130" t="s">
        <v>1112</v>
      </c>
      <c r="E23" s="111"/>
      <c r="F23" s="111"/>
      <c r="G23" s="111"/>
      <c r="H23" s="111"/>
      <c r="I23" s="111"/>
    </row>
    <row r="24" spans="2:9" ht="18" customHeight="1">
      <c r="B24" s="129">
        <v>44259</v>
      </c>
      <c r="C24" s="130">
        <v>82</v>
      </c>
      <c r="D24" s="130" t="s">
        <v>1109</v>
      </c>
      <c r="E24" s="111"/>
      <c r="F24" s="111"/>
      <c r="G24" s="111"/>
      <c r="H24" s="111"/>
      <c r="I24" s="111"/>
    </row>
    <row r="25" spans="2:9" ht="18" customHeight="1">
      <c r="B25" s="129">
        <v>44260</v>
      </c>
      <c r="C25" s="130">
        <v>98</v>
      </c>
      <c r="D25" s="130" t="s">
        <v>1111</v>
      </c>
      <c r="E25" s="111"/>
      <c r="F25" s="111"/>
      <c r="G25" s="111"/>
      <c r="H25" s="111"/>
      <c r="I25" s="111"/>
    </row>
    <row r="26" spans="2:9" ht="18" customHeight="1">
      <c r="B26" s="129"/>
      <c r="C26" s="111"/>
      <c r="D26" s="111"/>
      <c r="E26" s="111"/>
      <c r="F26" s="111"/>
      <c r="G26" s="111"/>
      <c r="H26" s="111"/>
      <c r="I26" s="111"/>
    </row>
  </sheetData>
  <mergeCells count="2">
    <mergeCell ref="F4:G5"/>
    <mergeCell ref="H4:H5"/>
  </mergeCells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E7A09-2452-4126-9B91-EC603675AE7D}">
  <sheetPr codeName="Planilha18"/>
  <dimension ref="B2:G29"/>
  <sheetViews>
    <sheetView zoomScaleNormal="100" workbookViewId="0">
      <selection activeCell="B5" sqref="B5:B25"/>
    </sheetView>
  </sheetViews>
  <sheetFormatPr defaultColWidth="9.6640625" defaultRowHeight="18" customHeight="1"/>
  <cols>
    <col min="1" max="1" width="4.44140625" style="111" customWidth="1"/>
    <col min="2" max="3" width="12.6640625" style="111" customWidth="1"/>
    <col min="4" max="4" width="14.109375" style="111" bestFit="1" customWidth="1"/>
    <col min="5" max="5" width="9.6640625" style="111"/>
    <col min="6" max="6" width="28" style="111" customWidth="1"/>
    <col min="7" max="7" width="13.109375" style="111" customWidth="1"/>
    <col min="8" max="16384" width="9.6640625" style="111"/>
  </cols>
  <sheetData>
    <row r="2" spans="2:7" ht="18" customHeight="1">
      <c r="B2" s="111" t="s">
        <v>1118</v>
      </c>
      <c r="G2" s="125"/>
    </row>
    <row r="3" spans="2:7" ht="18" customHeight="1">
      <c r="B3" s="111" t="s">
        <v>1114</v>
      </c>
      <c r="F3"/>
    </row>
    <row r="4" spans="2:7" ht="18" customHeight="1">
      <c r="B4" s="128" t="s">
        <v>1096</v>
      </c>
      <c r="C4" s="128" t="s">
        <v>1106</v>
      </c>
      <c r="D4" s="128" t="s">
        <v>1107</v>
      </c>
      <c r="F4" t="s">
        <v>1115</v>
      </c>
      <c r="G4"/>
    </row>
    <row r="5" spans="2:7" ht="18" customHeight="1">
      <c r="B5" s="129">
        <v>44234</v>
      </c>
      <c r="C5" s="130">
        <v>94</v>
      </c>
      <c r="D5" s="130" t="s">
        <v>1109</v>
      </c>
      <c r="F5" t="s">
        <v>1116</v>
      </c>
      <c r="G5"/>
    </row>
    <row r="6" spans="2:7" ht="18" customHeight="1">
      <c r="B6" s="129">
        <v>44235</v>
      </c>
      <c r="C6" s="130">
        <v>93</v>
      </c>
      <c r="D6" s="130" t="s">
        <v>1110</v>
      </c>
      <c r="F6" t="s">
        <v>1117</v>
      </c>
      <c r="G6"/>
    </row>
    <row r="7" spans="2:7" ht="18" customHeight="1">
      <c r="B7" s="129">
        <v>44236</v>
      </c>
      <c r="C7" s="130">
        <v>143</v>
      </c>
      <c r="D7" s="130" t="s">
        <v>1109</v>
      </c>
    </row>
    <row r="8" spans="2:7" ht="18" customHeight="1">
      <c r="B8" s="129">
        <v>44237</v>
      </c>
      <c r="C8" s="130">
        <v>65</v>
      </c>
      <c r="D8" s="130" t="s">
        <v>1111</v>
      </c>
    </row>
    <row r="9" spans="2:7" ht="18" customHeight="1">
      <c r="B9" s="129">
        <v>44238</v>
      </c>
      <c r="C9" s="130">
        <v>150</v>
      </c>
      <c r="D9" s="130" t="s">
        <v>1112</v>
      </c>
    </row>
    <row r="10" spans="2:7" ht="18" customHeight="1">
      <c r="B10" s="129">
        <v>44239</v>
      </c>
      <c r="C10" s="130">
        <v>85</v>
      </c>
      <c r="D10" s="130" t="s">
        <v>1110</v>
      </c>
    </row>
    <row r="11" spans="2:7" ht="18" customHeight="1">
      <c r="B11" s="129">
        <v>44242</v>
      </c>
      <c r="C11" s="130">
        <v>68</v>
      </c>
      <c r="D11" s="130" t="s">
        <v>1112</v>
      </c>
    </row>
    <row r="12" spans="2:7" ht="18" customHeight="1">
      <c r="B12" s="129">
        <v>44243</v>
      </c>
      <c r="C12" s="130">
        <v>134</v>
      </c>
      <c r="D12" s="130" t="s">
        <v>1109</v>
      </c>
    </row>
    <row r="13" spans="2:7" ht="18" customHeight="1">
      <c r="B13" s="129">
        <v>44244</v>
      </c>
      <c r="C13" s="130">
        <v>106</v>
      </c>
      <c r="D13" s="130" t="s">
        <v>1111</v>
      </c>
    </row>
    <row r="14" spans="2:7" ht="18" customHeight="1">
      <c r="B14" s="129">
        <v>44245</v>
      </c>
      <c r="C14" s="130">
        <v>79</v>
      </c>
      <c r="D14" s="130" t="s">
        <v>1111</v>
      </c>
    </row>
    <row r="15" spans="2:7" ht="18" customHeight="1">
      <c r="B15" s="129">
        <v>44246</v>
      </c>
      <c r="C15" s="130">
        <v>149</v>
      </c>
      <c r="D15" s="130" t="s">
        <v>1111</v>
      </c>
    </row>
    <row r="16" spans="2:7" ht="18" customHeight="1">
      <c r="B16" s="129">
        <v>44249</v>
      </c>
      <c r="C16" s="130">
        <v>90</v>
      </c>
      <c r="D16" s="130" t="s">
        <v>1112</v>
      </c>
    </row>
    <row r="17" spans="2:4" ht="18" customHeight="1">
      <c r="B17" s="129">
        <v>44250</v>
      </c>
      <c r="C17" s="130">
        <v>48</v>
      </c>
      <c r="D17" s="130" t="s">
        <v>1109</v>
      </c>
    </row>
    <row r="18" spans="2:4" ht="18" customHeight="1">
      <c r="B18" s="129">
        <v>44251</v>
      </c>
      <c r="C18" s="130">
        <v>119</v>
      </c>
      <c r="D18" s="130" t="s">
        <v>1111</v>
      </c>
    </row>
    <row r="19" spans="2:4" ht="18" customHeight="1">
      <c r="B19" s="129">
        <v>44252</v>
      </c>
      <c r="C19" s="130">
        <v>139</v>
      </c>
      <c r="D19" s="130" t="s">
        <v>1111</v>
      </c>
    </row>
    <row r="20" spans="2:4" ht="18" customHeight="1">
      <c r="B20" s="129">
        <v>44253</v>
      </c>
      <c r="C20" s="130">
        <v>84</v>
      </c>
      <c r="D20" s="130" t="s">
        <v>1110</v>
      </c>
    </row>
    <row r="21" spans="2:4" ht="18" customHeight="1">
      <c r="B21" s="129">
        <v>44256</v>
      </c>
      <c r="C21" s="130">
        <v>118</v>
      </c>
      <c r="D21" s="130" t="s">
        <v>1112</v>
      </c>
    </row>
    <row r="22" spans="2:4" ht="18" customHeight="1">
      <c r="B22" s="129">
        <v>44257</v>
      </c>
      <c r="C22" s="130">
        <v>106</v>
      </c>
      <c r="D22" s="130" t="s">
        <v>1112</v>
      </c>
    </row>
    <row r="23" spans="2:4" ht="18" customHeight="1">
      <c r="B23" s="129">
        <v>44258</v>
      </c>
      <c r="C23" s="130">
        <v>257</v>
      </c>
      <c r="D23" s="130" t="s">
        <v>1112</v>
      </c>
    </row>
    <row r="24" spans="2:4" ht="18" customHeight="1">
      <c r="B24" s="129">
        <v>44259</v>
      </c>
      <c r="C24" s="130">
        <v>82</v>
      </c>
      <c r="D24" s="130" t="s">
        <v>1109</v>
      </c>
    </row>
    <row r="25" spans="2:4" ht="18" customHeight="1">
      <c r="B25" s="129">
        <v>44260</v>
      </c>
      <c r="C25" s="130">
        <v>98</v>
      </c>
      <c r="D25" s="130" t="s">
        <v>1111</v>
      </c>
    </row>
    <row r="26" spans="2:4" ht="18" customHeight="1">
      <c r="B26" s="129"/>
    </row>
    <row r="27" spans="2:4" ht="18" customHeight="1">
      <c r="B27" s="129"/>
    </row>
    <row r="28" spans="2:4" ht="18" customHeight="1">
      <c r="B28" s="129"/>
    </row>
    <row r="29" spans="2:4" ht="18" customHeight="1">
      <c r="B29" s="129"/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340B1-039F-4205-9CAD-4A68B74453AA}">
  <sheetPr codeName="Planilha19"/>
  <dimension ref="B2:G29"/>
  <sheetViews>
    <sheetView zoomScaleNormal="100" workbookViewId="0">
      <selection activeCell="F12" sqref="F12"/>
    </sheetView>
  </sheetViews>
  <sheetFormatPr defaultColWidth="9.6640625" defaultRowHeight="18" customHeight="1"/>
  <cols>
    <col min="1" max="1" width="4.44140625" style="111" customWidth="1"/>
    <col min="2" max="3" width="12.6640625" style="111" customWidth="1"/>
    <col min="4" max="4" width="14.109375" style="111" bestFit="1" customWidth="1"/>
    <col min="5" max="5" width="9.6640625" style="111"/>
    <col min="6" max="6" width="28" style="111" customWidth="1"/>
    <col min="7" max="7" width="13.109375" style="111" customWidth="1"/>
    <col min="8" max="16384" width="9.6640625" style="111"/>
  </cols>
  <sheetData>
    <row r="2" spans="2:7" ht="18" customHeight="1">
      <c r="B2" s="111" t="s">
        <v>1113</v>
      </c>
      <c r="G2" s="125"/>
    </row>
    <row r="3" spans="2:7" ht="18" customHeight="1">
      <c r="B3" s="111" t="s">
        <v>1114</v>
      </c>
      <c r="F3"/>
    </row>
    <row r="4" spans="2:7" ht="18" customHeight="1">
      <c r="B4" s="128" t="s">
        <v>1096</v>
      </c>
      <c r="C4" s="128" t="s">
        <v>1106</v>
      </c>
      <c r="D4" s="128" t="s">
        <v>1107</v>
      </c>
      <c r="F4" t="s">
        <v>1115</v>
      </c>
      <c r="G4"/>
    </row>
    <row r="5" spans="2:7" ht="18" customHeight="1">
      <c r="B5" s="129">
        <v>44234</v>
      </c>
      <c r="C5" s="130">
        <v>94</v>
      </c>
      <c r="D5" s="130" t="s">
        <v>1109</v>
      </c>
      <c r="F5" t="s">
        <v>1116</v>
      </c>
      <c r="G5"/>
    </row>
    <row r="6" spans="2:7" ht="18" customHeight="1">
      <c r="B6" s="129">
        <v>44235</v>
      </c>
      <c r="C6" s="130">
        <v>93</v>
      </c>
      <c r="D6" s="130" t="s">
        <v>1110</v>
      </c>
      <c r="F6" t="s">
        <v>1117</v>
      </c>
      <c r="G6"/>
    </row>
    <row r="7" spans="2:7" ht="18" customHeight="1">
      <c r="B7" s="129">
        <v>44236</v>
      </c>
      <c r="C7" s="130">
        <v>143</v>
      </c>
      <c r="D7" s="130" t="s">
        <v>1109</v>
      </c>
    </row>
    <row r="8" spans="2:7" ht="18" customHeight="1">
      <c r="B8" s="129">
        <v>44237</v>
      </c>
      <c r="C8" s="130">
        <v>65</v>
      </c>
      <c r="D8" s="130" t="s">
        <v>1111</v>
      </c>
    </row>
    <row r="9" spans="2:7" ht="18" customHeight="1">
      <c r="B9" s="129">
        <v>44238</v>
      </c>
      <c r="C9" s="130">
        <v>150</v>
      </c>
      <c r="D9" s="130" t="s">
        <v>1112</v>
      </c>
    </row>
    <row r="10" spans="2:7" ht="18" customHeight="1">
      <c r="B10" s="129">
        <v>44239</v>
      </c>
      <c r="C10" s="130">
        <v>85</v>
      </c>
      <c r="D10" s="130" t="s">
        <v>1110</v>
      </c>
    </row>
    <row r="11" spans="2:7" ht="18" customHeight="1">
      <c r="B11" s="129">
        <v>44242</v>
      </c>
      <c r="C11" s="130">
        <v>68</v>
      </c>
      <c r="D11" s="130" t="s">
        <v>1112</v>
      </c>
    </row>
    <row r="12" spans="2:7" ht="18" customHeight="1">
      <c r="B12" s="129">
        <v>44243</v>
      </c>
      <c r="C12" s="130">
        <v>134</v>
      </c>
      <c r="D12" s="130" t="s">
        <v>1109</v>
      </c>
    </row>
    <row r="13" spans="2:7" ht="18" customHeight="1">
      <c r="B13" s="129">
        <v>44244</v>
      </c>
      <c r="C13" s="130">
        <v>106</v>
      </c>
      <c r="D13" s="130" t="s">
        <v>1111</v>
      </c>
    </row>
    <row r="14" spans="2:7" ht="18" customHeight="1">
      <c r="B14" s="129">
        <v>44245</v>
      </c>
      <c r="C14" s="130">
        <v>79</v>
      </c>
      <c r="D14" s="130" t="s">
        <v>1111</v>
      </c>
    </row>
    <row r="15" spans="2:7" ht="18" customHeight="1">
      <c r="B15" s="129">
        <v>44246</v>
      </c>
      <c r="C15" s="130">
        <v>149</v>
      </c>
      <c r="D15" s="130" t="s">
        <v>1111</v>
      </c>
    </row>
    <row r="16" spans="2:7" ht="18" customHeight="1">
      <c r="B16" s="129">
        <v>44249</v>
      </c>
      <c r="C16" s="130">
        <v>90</v>
      </c>
      <c r="D16" s="130" t="s">
        <v>1112</v>
      </c>
    </row>
    <row r="17" spans="2:4" ht="18" customHeight="1">
      <c r="B17" s="129">
        <v>44250</v>
      </c>
      <c r="C17" s="130">
        <v>48</v>
      </c>
      <c r="D17" s="130" t="s">
        <v>1109</v>
      </c>
    </row>
    <row r="18" spans="2:4" ht="18" customHeight="1">
      <c r="B18" s="129">
        <v>44251</v>
      </c>
      <c r="C18" s="130">
        <v>119</v>
      </c>
      <c r="D18" s="130" t="s">
        <v>1111</v>
      </c>
    </row>
    <row r="19" spans="2:4" ht="18" customHeight="1">
      <c r="B19" s="129">
        <v>44252</v>
      </c>
      <c r="C19" s="130">
        <v>139</v>
      </c>
      <c r="D19" s="130" t="s">
        <v>1111</v>
      </c>
    </row>
    <row r="20" spans="2:4" ht="18" customHeight="1">
      <c r="B20" s="129">
        <v>44253</v>
      </c>
      <c r="C20" s="130">
        <v>84</v>
      </c>
      <c r="D20" s="130" t="s">
        <v>1110</v>
      </c>
    </row>
    <row r="21" spans="2:4" ht="18" customHeight="1">
      <c r="B21" s="129">
        <v>44256</v>
      </c>
      <c r="C21" s="130">
        <v>118</v>
      </c>
      <c r="D21" s="130" t="s">
        <v>1112</v>
      </c>
    </row>
    <row r="22" spans="2:4" ht="18" customHeight="1">
      <c r="B22" s="129">
        <v>44257</v>
      </c>
      <c r="C22" s="130">
        <v>106</v>
      </c>
      <c r="D22" s="130" t="s">
        <v>1112</v>
      </c>
    </row>
    <row r="23" spans="2:4" ht="18" customHeight="1">
      <c r="B23" s="129">
        <v>44258</v>
      </c>
      <c r="C23" s="130">
        <v>257</v>
      </c>
      <c r="D23" s="130" t="s">
        <v>1112</v>
      </c>
    </row>
    <row r="24" spans="2:4" ht="18" customHeight="1">
      <c r="B24" s="129">
        <v>44259</v>
      </c>
      <c r="C24" s="130">
        <v>82</v>
      </c>
      <c r="D24" s="130" t="s">
        <v>1109</v>
      </c>
    </row>
    <row r="25" spans="2:4" ht="18" customHeight="1">
      <c r="B25" s="129">
        <v>44260</v>
      </c>
      <c r="C25" s="130">
        <v>98</v>
      </c>
      <c r="D25" s="130" t="s">
        <v>1111</v>
      </c>
    </row>
    <row r="26" spans="2:4" ht="18" customHeight="1">
      <c r="B26" s="129"/>
    </row>
    <row r="27" spans="2:4" ht="18" customHeight="1">
      <c r="B27" s="129"/>
    </row>
    <row r="28" spans="2:4" ht="18" customHeight="1">
      <c r="B28" s="129"/>
    </row>
    <row r="29" spans="2:4" ht="18" customHeight="1">
      <c r="B29" s="129"/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2099D-46F4-4FB8-B65A-F61949A77842}">
  <sheetPr codeName="Planilha20"/>
  <dimension ref="B2:P26"/>
  <sheetViews>
    <sheetView showGridLines="0" topLeftCell="A7" zoomScaleNormal="100" workbookViewId="0">
      <selection activeCell="J12" sqref="J12"/>
    </sheetView>
  </sheetViews>
  <sheetFormatPr defaultColWidth="9.109375" defaultRowHeight="18" customHeight="1"/>
  <cols>
    <col min="1" max="1" width="2.109375" style="75" customWidth="1"/>
    <col min="2" max="2" width="9.109375" style="75"/>
    <col min="3" max="3" width="12.44140625" style="75" bestFit="1" customWidth="1"/>
    <col min="4" max="4" width="10.5546875" style="75" bestFit="1" customWidth="1"/>
    <col min="5" max="5" width="10.6640625" style="75" bestFit="1" customWidth="1"/>
    <col min="6" max="6" width="11" style="75" bestFit="1" customWidth="1"/>
    <col min="7" max="7" width="1.6640625" style="75" customWidth="1"/>
    <col min="8" max="8" width="21.5546875" style="75" customWidth="1"/>
    <col min="9" max="9" width="15" style="75" bestFit="1" customWidth="1"/>
    <col min="10" max="10" width="13.88671875" style="75" bestFit="1" customWidth="1"/>
    <col min="11" max="11" width="13.5546875" style="75" bestFit="1" customWidth="1"/>
    <col min="12" max="12" width="1.6640625" style="75" customWidth="1"/>
    <col min="13" max="13" width="15.33203125" style="75" bestFit="1" customWidth="1"/>
    <col min="14" max="14" width="18.109375" style="75" bestFit="1" customWidth="1"/>
    <col min="15" max="15" width="13.44140625" style="75" bestFit="1" customWidth="1"/>
    <col min="16" max="16" width="11.6640625" style="75" customWidth="1"/>
    <col min="17" max="16384" width="9.109375" style="75"/>
  </cols>
  <sheetData>
    <row r="2" spans="2:16" ht="18" customHeight="1">
      <c r="B2" s="73" t="s">
        <v>1038</v>
      </c>
      <c r="C2" s="74"/>
      <c r="D2" s="74"/>
      <c r="E2" s="74" t="s">
        <v>1039</v>
      </c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</row>
    <row r="4" spans="2:16" ht="18" customHeight="1">
      <c r="B4" s="76" t="s">
        <v>1040</v>
      </c>
      <c r="C4" s="77"/>
      <c r="D4" s="77"/>
      <c r="E4" s="77"/>
      <c r="F4" s="78"/>
      <c r="H4" s="76" t="s">
        <v>1041</v>
      </c>
      <c r="I4" s="79"/>
      <c r="J4" s="79"/>
      <c r="K4" s="80"/>
      <c r="M4" s="76" t="s">
        <v>1042</v>
      </c>
      <c r="N4" s="79"/>
      <c r="O4" s="79"/>
      <c r="P4" s="80"/>
    </row>
    <row r="5" spans="2:16" ht="18" customHeight="1">
      <c r="B5" s="81" t="s">
        <v>1043</v>
      </c>
      <c r="C5" s="82"/>
      <c r="D5" s="82"/>
      <c r="E5" s="82"/>
      <c r="F5" s="83"/>
      <c r="H5" s="81" t="s">
        <v>1044</v>
      </c>
      <c r="I5" s="84"/>
      <c r="J5" s="84"/>
      <c r="K5" s="85"/>
      <c r="M5" s="81" t="s">
        <v>1045</v>
      </c>
      <c r="N5" s="84"/>
      <c r="O5" s="84"/>
      <c r="P5" s="85"/>
    </row>
    <row r="6" spans="2:16" ht="18" customHeight="1">
      <c r="B6" s="86" t="s">
        <v>1046</v>
      </c>
      <c r="C6" s="86" t="s">
        <v>19</v>
      </c>
      <c r="D6" s="86" t="s">
        <v>1047</v>
      </c>
      <c r="E6" s="86" t="s">
        <v>1048</v>
      </c>
      <c r="F6" s="86" t="s">
        <v>1049</v>
      </c>
      <c r="H6" s="87" t="s">
        <v>1050</v>
      </c>
      <c r="I6" s="87" t="s">
        <v>1051</v>
      </c>
      <c r="J6" s="87" t="s">
        <v>1052</v>
      </c>
      <c r="K6" s="87" t="s">
        <v>1053</v>
      </c>
      <c r="M6" s="87" t="s">
        <v>1054</v>
      </c>
      <c r="N6" s="87" t="s">
        <v>1055</v>
      </c>
      <c r="O6" s="87" t="s">
        <v>1056</v>
      </c>
      <c r="P6" s="87" t="s">
        <v>1057</v>
      </c>
    </row>
    <row r="7" spans="2:16" ht="18" customHeight="1">
      <c r="B7" s="88">
        <v>2294</v>
      </c>
      <c r="C7" s="89">
        <v>1230</v>
      </c>
      <c r="D7" s="90">
        <v>44251</v>
      </c>
      <c r="E7" s="90">
        <v>44259</v>
      </c>
      <c r="F7" s="91"/>
      <c r="H7" s="92" t="s">
        <v>1058</v>
      </c>
      <c r="I7" s="92" t="s">
        <v>1059</v>
      </c>
      <c r="J7" s="89">
        <v>6653</v>
      </c>
      <c r="K7" s="93"/>
      <c r="M7" s="89">
        <v>3862</v>
      </c>
      <c r="N7" s="94"/>
      <c r="O7" s="95"/>
      <c r="P7" s="95"/>
    </row>
    <row r="8" spans="2:16" ht="18" customHeight="1">
      <c r="B8" s="88">
        <v>1416</v>
      </c>
      <c r="C8" s="89">
        <v>3861</v>
      </c>
      <c r="D8" s="90">
        <v>44249</v>
      </c>
      <c r="E8" s="90">
        <v>44249</v>
      </c>
      <c r="F8" s="91"/>
      <c r="H8" s="92" t="s">
        <v>1060</v>
      </c>
      <c r="I8" s="92" t="s">
        <v>1059</v>
      </c>
      <c r="J8" s="89">
        <v>5165</v>
      </c>
      <c r="K8" s="93"/>
      <c r="M8" s="89">
        <v>6633</v>
      </c>
      <c r="N8" s="94"/>
      <c r="O8" s="95"/>
      <c r="P8" s="95"/>
    </row>
    <row r="9" spans="2:16" ht="18" customHeight="1">
      <c r="B9" s="88">
        <v>1381</v>
      </c>
      <c r="C9" s="89">
        <v>3070</v>
      </c>
      <c r="D9" s="90">
        <v>44238</v>
      </c>
      <c r="E9" s="90">
        <v>44236</v>
      </c>
      <c r="F9" s="91"/>
      <c r="H9" s="92" t="s">
        <v>1061</v>
      </c>
      <c r="I9" s="92" t="s">
        <v>1062</v>
      </c>
      <c r="J9" s="89">
        <v>5584</v>
      </c>
      <c r="K9" s="93"/>
      <c r="M9" s="89">
        <v>6568</v>
      </c>
      <c r="N9" s="94"/>
      <c r="O9" s="95"/>
      <c r="P9" s="95"/>
    </row>
    <row r="10" spans="2:16" ht="18" customHeight="1">
      <c r="B10" s="88">
        <v>1397</v>
      </c>
      <c r="C10" s="89">
        <v>4073</v>
      </c>
      <c r="D10" s="90">
        <v>44257</v>
      </c>
      <c r="E10" s="90">
        <v>44232</v>
      </c>
      <c r="F10" s="91"/>
      <c r="H10" s="92" t="s">
        <v>1063</v>
      </c>
      <c r="I10" s="92" t="s">
        <v>1059</v>
      </c>
      <c r="J10" s="89">
        <v>1279</v>
      </c>
      <c r="K10" s="93"/>
      <c r="M10" s="89">
        <v>3197</v>
      </c>
      <c r="N10" s="94"/>
      <c r="O10" s="95"/>
      <c r="P10" s="95"/>
    </row>
    <row r="11" spans="2:16" ht="18" customHeight="1">
      <c r="B11" s="88">
        <v>1777</v>
      </c>
      <c r="C11" s="89">
        <v>1820</v>
      </c>
      <c r="D11" s="90">
        <v>44255</v>
      </c>
      <c r="E11" s="90">
        <v>44246</v>
      </c>
      <c r="F11" s="91"/>
      <c r="H11" s="92" t="s">
        <v>1064</v>
      </c>
      <c r="I11" s="92" t="s">
        <v>1062</v>
      </c>
      <c r="J11" s="89">
        <v>6660</v>
      </c>
      <c r="K11" s="93"/>
      <c r="M11" s="89">
        <v>5386</v>
      </c>
      <c r="N11" s="94"/>
      <c r="O11" s="95"/>
      <c r="P11" s="95"/>
    </row>
    <row r="12" spans="2:16" ht="18" customHeight="1">
      <c r="B12" s="88">
        <v>1457</v>
      </c>
      <c r="C12" s="89">
        <v>3529</v>
      </c>
      <c r="D12" s="90">
        <v>44240</v>
      </c>
      <c r="E12" s="90">
        <v>44250</v>
      </c>
      <c r="F12" s="91"/>
      <c r="H12" s="92" t="s">
        <v>1065</v>
      </c>
      <c r="I12" s="92" t="s">
        <v>1062</v>
      </c>
      <c r="J12" s="89">
        <v>1312</v>
      </c>
      <c r="K12" s="93"/>
      <c r="M12" s="89">
        <v>5125</v>
      </c>
      <c r="N12" s="94"/>
      <c r="O12" s="95"/>
      <c r="P12" s="95"/>
    </row>
    <row r="13" spans="2:16" ht="18" customHeight="1">
      <c r="B13" s="88">
        <v>1512</v>
      </c>
      <c r="C13" s="89">
        <v>4795</v>
      </c>
      <c r="D13" s="90">
        <v>44238</v>
      </c>
      <c r="E13" s="90">
        <v>44259</v>
      </c>
      <c r="F13" s="91"/>
      <c r="H13" s="92" t="s">
        <v>1066</v>
      </c>
      <c r="I13" s="92" t="s">
        <v>1062</v>
      </c>
      <c r="J13" s="89">
        <v>7447</v>
      </c>
      <c r="K13" s="93"/>
      <c r="M13" s="89">
        <v>4111</v>
      </c>
      <c r="N13" s="94"/>
      <c r="O13" s="95"/>
      <c r="P13" s="95"/>
    </row>
    <row r="15" spans="2:16" ht="2.1" customHeight="1"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96"/>
      <c r="N15" s="96"/>
      <c r="O15" s="96"/>
      <c r="P15" s="96"/>
    </row>
    <row r="17" spans="2:16" ht="18" customHeight="1">
      <c r="B17" s="76" t="s">
        <v>1067</v>
      </c>
      <c r="C17" s="77"/>
      <c r="D17" s="77"/>
      <c r="E17" s="77"/>
      <c r="F17" s="78"/>
      <c r="H17" s="76" t="s">
        <v>1068</v>
      </c>
      <c r="I17" s="77"/>
      <c r="J17" s="77"/>
      <c r="K17" s="77"/>
      <c r="L17" s="97"/>
      <c r="M17" s="76" t="s">
        <v>1069</v>
      </c>
      <c r="N17" s="79"/>
      <c r="O17" s="79"/>
      <c r="P17" s="80"/>
    </row>
    <row r="18" spans="2:16" ht="18" customHeight="1">
      <c r="B18" s="81" t="s">
        <v>1070</v>
      </c>
      <c r="C18" s="82"/>
      <c r="D18" s="82"/>
      <c r="E18" s="82"/>
      <c r="F18" s="83"/>
      <c r="H18" s="81" t="s">
        <v>1071</v>
      </c>
      <c r="I18" s="82"/>
      <c r="J18" s="82"/>
      <c r="K18" s="82"/>
      <c r="L18" s="97"/>
      <c r="M18" s="81" t="s">
        <v>1072</v>
      </c>
      <c r="N18" s="84"/>
      <c r="O18" s="84"/>
      <c r="P18" s="85"/>
    </row>
    <row r="19" spans="2:16" ht="18" customHeight="1">
      <c r="B19" s="86" t="s">
        <v>1073</v>
      </c>
      <c r="C19" s="86" t="s">
        <v>1074</v>
      </c>
      <c r="D19" s="86" t="s">
        <v>1075</v>
      </c>
      <c r="E19" s="86" t="s">
        <v>1076</v>
      </c>
      <c r="F19" s="86" t="s">
        <v>1077</v>
      </c>
      <c r="H19" s="87" t="s">
        <v>1050</v>
      </c>
      <c r="I19" s="87" t="s">
        <v>1078</v>
      </c>
      <c r="J19" s="87" t="s">
        <v>1079</v>
      </c>
      <c r="K19" s="98" t="s">
        <v>1080</v>
      </c>
      <c r="M19" s="86" t="s">
        <v>1073</v>
      </c>
      <c r="N19" s="87" t="s">
        <v>19</v>
      </c>
      <c r="O19" s="87" t="s">
        <v>1081</v>
      </c>
      <c r="P19" s="99" t="s">
        <v>1082</v>
      </c>
    </row>
    <row r="20" spans="2:16" ht="18" customHeight="1">
      <c r="B20" s="88">
        <v>100102</v>
      </c>
      <c r="C20" s="100">
        <v>13664</v>
      </c>
      <c r="D20" s="100">
        <v>13324</v>
      </c>
      <c r="E20" s="101"/>
      <c r="F20" s="102"/>
      <c r="H20" s="92" t="s">
        <v>1058</v>
      </c>
      <c r="I20" s="103">
        <v>1320</v>
      </c>
      <c r="J20" s="104"/>
      <c r="K20" s="105"/>
      <c r="M20" s="88" t="s">
        <v>1083</v>
      </c>
      <c r="N20" s="106">
        <v>28</v>
      </c>
      <c r="O20" s="107">
        <v>53</v>
      </c>
      <c r="P20" s="108"/>
    </row>
    <row r="21" spans="2:16" ht="18" customHeight="1">
      <c r="B21" s="88">
        <v>100203</v>
      </c>
      <c r="C21" s="100">
        <v>13145</v>
      </c>
      <c r="D21" s="100">
        <v>22010</v>
      </c>
      <c r="E21" s="101"/>
      <c r="F21" s="102"/>
      <c r="H21" s="92" t="s">
        <v>1060</v>
      </c>
      <c r="I21" s="103">
        <v>1934</v>
      </c>
      <c r="J21" s="109"/>
      <c r="K21" s="109"/>
      <c r="M21" s="88" t="s">
        <v>1084</v>
      </c>
      <c r="N21" s="106">
        <v>23</v>
      </c>
      <c r="O21" s="107">
        <v>64</v>
      </c>
      <c r="P21" s="108"/>
    </row>
    <row r="22" spans="2:16" ht="18" customHeight="1">
      <c r="B22" s="88">
        <v>100304</v>
      </c>
      <c r="C22" s="100">
        <v>8530</v>
      </c>
      <c r="D22" s="100">
        <v>13764</v>
      </c>
      <c r="E22" s="101"/>
      <c r="F22" s="102"/>
      <c r="H22" s="92" t="s">
        <v>1061</v>
      </c>
      <c r="I22" s="103">
        <v>2110</v>
      </c>
      <c r="J22" s="109"/>
      <c r="K22" s="109"/>
      <c r="M22" s="88" t="s">
        <v>1085</v>
      </c>
      <c r="N22" s="106">
        <v>60</v>
      </c>
      <c r="O22" s="107">
        <v>71</v>
      </c>
      <c r="P22" s="108"/>
    </row>
    <row r="23" spans="2:16" ht="18" customHeight="1">
      <c r="B23" s="88">
        <v>100405</v>
      </c>
      <c r="C23" s="100">
        <v>11835</v>
      </c>
      <c r="D23" s="100">
        <v>15022</v>
      </c>
      <c r="E23" s="101"/>
      <c r="F23" s="102"/>
      <c r="H23" s="92" t="s">
        <v>1063</v>
      </c>
      <c r="I23" s="103">
        <v>2760</v>
      </c>
      <c r="J23" s="109"/>
      <c r="K23" s="109"/>
      <c r="M23" s="88" t="s">
        <v>1086</v>
      </c>
      <c r="N23" s="106">
        <v>28</v>
      </c>
      <c r="O23" s="107">
        <v>74</v>
      </c>
      <c r="P23" s="108"/>
    </row>
    <row r="24" spans="2:16" ht="18" customHeight="1">
      <c r="B24" s="88">
        <v>100506</v>
      </c>
      <c r="C24" s="100">
        <v>14168</v>
      </c>
      <c r="D24" s="100">
        <v>8198</v>
      </c>
      <c r="E24" s="101"/>
      <c r="F24" s="102"/>
      <c r="H24" s="92" t="s">
        <v>1064</v>
      </c>
      <c r="I24" s="103">
        <v>1948</v>
      </c>
      <c r="J24" s="109"/>
      <c r="K24" s="109"/>
      <c r="M24" s="88" t="s">
        <v>1087</v>
      </c>
      <c r="N24" s="106">
        <v>60</v>
      </c>
      <c r="O24" s="107">
        <v>52</v>
      </c>
      <c r="P24" s="108"/>
    </row>
    <row r="25" spans="2:16" ht="18" customHeight="1">
      <c r="B25" s="88">
        <v>100607</v>
      </c>
      <c r="C25" s="100">
        <v>11611</v>
      </c>
      <c r="D25" s="100">
        <v>20672</v>
      </c>
      <c r="E25" s="101"/>
      <c r="F25" s="102"/>
      <c r="H25" s="92" t="s">
        <v>1065</v>
      </c>
      <c r="I25" s="103">
        <v>2824</v>
      </c>
      <c r="J25" s="109"/>
      <c r="K25" s="109"/>
      <c r="M25" s="88" t="s">
        <v>1088</v>
      </c>
      <c r="N25" s="106">
        <v>54</v>
      </c>
      <c r="O25" s="107">
        <v>74</v>
      </c>
      <c r="P25" s="108"/>
    </row>
    <row r="26" spans="2:16" ht="18" customHeight="1">
      <c r="B26" s="88">
        <v>100708</v>
      </c>
      <c r="C26" s="100">
        <v>14675</v>
      </c>
      <c r="D26" s="100">
        <v>13247</v>
      </c>
      <c r="E26" s="101"/>
      <c r="F26" s="102"/>
      <c r="H26" s="92" t="s">
        <v>1066</v>
      </c>
      <c r="I26" s="103">
        <v>2651</v>
      </c>
      <c r="J26" s="109"/>
      <c r="K26" s="109"/>
      <c r="M26" s="88" t="s">
        <v>1089</v>
      </c>
      <c r="N26" s="106">
        <v>43</v>
      </c>
      <c r="O26" s="107">
        <v>60</v>
      </c>
      <c r="P26" s="108"/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B3363-683E-4263-906A-0BECC9793D59}">
  <sheetPr codeName="Planilha21"/>
  <dimension ref="A1:J1000"/>
  <sheetViews>
    <sheetView showGridLines="0" zoomScaleNormal="100" workbookViewId="0">
      <selection activeCell="D9" sqref="D9"/>
    </sheetView>
  </sheetViews>
  <sheetFormatPr defaultColWidth="9.109375" defaultRowHeight="12"/>
  <cols>
    <col min="1" max="1" width="9.109375" style="69"/>
    <col min="2" max="2" width="37.5546875" style="69" customWidth="1"/>
    <col min="3" max="3" width="10.44140625" style="69" customWidth="1"/>
    <col min="4" max="4" width="5.5546875" style="71" bestFit="1" customWidth="1"/>
    <col min="5" max="5" width="10.6640625" style="69" bestFit="1" customWidth="1"/>
    <col min="6" max="8" width="11.5546875" style="69" customWidth="1"/>
    <col min="9" max="9" width="17.33203125" style="69" bestFit="1" customWidth="1"/>
    <col min="10" max="10" width="12.33203125" style="69" bestFit="1" customWidth="1"/>
    <col min="11" max="16384" width="9.109375" style="69"/>
  </cols>
  <sheetData>
    <row r="1" spans="1:10" ht="24">
      <c r="A1" s="67" t="s">
        <v>92</v>
      </c>
      <c r="B1" s="68" t="s">
        <v>93</v>
      </c>
      <c r="C1" s="68" t="s">
        <v>94</v>
      </c>
      <c r="D1" s="68" t="s">
        <v>95</v>
      </c>
      <c r="E1" s="68" t="s">
        <v>96</v>
      </c>
      <c r="F1" s="68" t="s">
        <v>97</v>
      </c>
      <c r="G1" s="68" t="s">
        <v>98</v>
      </c>
      <c r="H1" s="68" t="s">
        <v>99</v>
      </c>
      <c r="I1" s="68" t="s">
        <v>100</v>
      </c>
      <c r="J1" s="68" t="s">
        <v>101</v>
      </c>
    </row>
    <row r="2" spans="1:10" ht="15" customHeight="1">
      <c r="A2" s="70">
        <v>43831</v>
      </c>
      <c r="B2" s="69" t="s">
        <v>102</v>
      </c>
      <c r="C2" s="69" t="s">
        <v>103</v>
      </c>
      <c r="D2" s="71">
        <v>13</v>
      </c>
      <c r="E2" s="69" t="s">
        <v>104</v>
      </c>
      <c r="F2" s="69" t="s">
        <v>105</v>
      </c>
      <c r="G2" s="69" t="s">
        <v>105</v>
      </c>
      <c r="H2" s="69" t="s">
        <v>106</v>
      </c>
      <c r="I2" s="69" t="s">
        <v>107</v>
      </c>
      <c r="J2" s="72">
        <v>400</v>
      </c>
    </row>
    <row r="3" spans="1:10" ht="15" customHeight="1">
      <c r="A3" s="70">
        <v>43831</v>
      </c>
      <c r="B3" s="69" t="s">
        <v>108</v>
      </c>
      <c r="C3" s="69" t="s">
        <v>103</v>
      </c>
      <c r="D3" s="71">
        <v>75</v>
      </c>
      <c r="E3" s="69" t="s">
        <v>109</v>
      </c>
      <c r="F3" s="69" t="s">
        <v>105</v>
      </c>
      <c r="G3" s="69" t="s">
        <v>105</v>
      </c>
      <c r="H3" s="69" t="s">
        <v>110</v>
      </c>
      <c r="I3" s="69" t="s">
        <v>111</v>
      </c>
      <c r="J3" s="72">
        <v>400</v>
      </c>
    </row>
    <row r="4" spans="1:10" ht="15" customHeight="1">
      <c r="A4" s="70">
        <v>43831</v>
      </c>
      <c r="B4" s="69" t="s">
        <v>112</v>
      </c>
      <c r="C4" s="69" t="s">
        <v>103</v>
      </c>
      <c r="D4" s="71">
        <v>61</v>
      </c>
      <c r="E4" s="69" t="s">
        <v>113</v>
      </c>
      <c r="F4" s="69" t="s">
        <v>105</v>
      </c>
      <c r="G4" s="69" t="s">
        <v>105</v>
      </c>
      <c r="H4" s="69" t="s">
        <v>110</v>
      </c>
      <c r="I4" s="69" t="s">
        <v>114</v>
      </c>
      <c r="J4" s="72">
        <v>400</v>
      </c>
    </row>
    <row r="5" spans="1:10" ht="15" customHeight="1">
      <c r="A5" s="70">
        <v>43831</v>
      </c>
      <c r="B5" s="69" t="s">
        <v>115</v>
      </c>
      <c r="C5" s="69" t="s">
        <v>116</v>
      </c>
      <c r="D5" s="71">
        <v>16</v>
      </c>
      <c r="E5" s="69" t="s">
        <v>109</v>
      </c>
      <c r="F5" s="69" t="s">
        <v>105</v>
      </c>
      <c r="G5" s="69" t="s">
        <v>105</v>
      </c>
      <c r="H5" s="69" t="s">
        <v>117</v>
      </c>
      <c r="I5" s="69" t="s">
        <v>118</v>
      </c>
      <c r="J5" s="72">
        <v>400</v>
      </c>
    </row>
    <row r="6" spans="1:10" ht="15" customHeight="1">
      <c r="A6" s="70">
        <v>43831</v>
      </c>
      <c r="B6" s="69" t="s">
        <v>119</v>
      </c>
      <c r="C6" s="69" t="s">
        <v>103</v>
      </c>
      <c r="D6" s="71">
        <v>6</v>
      </c>
      <c r="E6" s="69" t="s">
        <v>109</v>
      </c>
      <c r="F6" s="69" t="s">
        <v>120</v>
      </c>
      <c r="G6" s="69" t="s">
        <v>121</v>
      </c>
      <c r="H6" s="69" t="s">
        <v>110</v>
      </c>
      <c r="I6" s="69" t="s">
        <v>118</v>
      </c>
      <c r="J6" s="72">
        <v>78</v>
      </c>
    </row>
    <row r="7" spans="1:10" ht="15" customHeight="1">
      <c r="A7" s="70">
        <v>43832</v>
      </c>
      <c r="B7" s="69" t="s">
        <v>122</v>
      </c>
      <c r="C7" s="69" t="s">
        <v>116</v>
      </c>
      <c r="D7" s="71">
        <v>34</v>
      </c>
      <c r="E7" s="69" t="s">
        <v>109</v>
      </c>
      <c r="F7" s="69" t="s">
        <v>120</v>
      </c>
      <c r="G7" s="69" t="s">
        <v>123</v>
      </c>
      <c r="H7" s="69" t="s">
        <v>110</v>
      </c>
      <c r="I7" s="69" t="s">
        <v>111</v>
      </c>
      <c r="J7" s="72">
        <v>90</v>
      </c>
    </row>
    <row r="8" spans="1:10" ht="15" customHeight="1">
      <c r="A8" s="70">
        <v>43832</v>
      </c>
      <c r="B8" s="69" t="s">
        <v>124</v>
      </c>
      <c r="C8" s="69" t="s">
        <v>116</v>
      </c>
      <c r="D8" s="71">
        <v>29</v>
      </c>
      <c r="E8" s="69" t="s">
        <v>104</v>
      </c>
      <c r="F8" s="69" t="s">
        <v>120</v>
      </c>
      <c r="G8" s="69" t="s">
        <v>125</v>
      </c>
      <c r="H8" s="69" t="s">
        <v>126</v>
      </c>
      <c r="I8" s="69" t="s">
        <v>118</v>
      </c>
      <c r="J8" s="72">
        <v>65</v>
      </c>
    </row>
    <row r="9" spans="1:10" ht="15" customHeight="1">
      <c r="A9" s="70">
        <v>43833</v>
      </c>
      <c r="B9" s="69" t="s">
        <v>127</v>
      </c>
      <c r="C9" s="69" t="s">
        <v>116</v>
      </c>
      <c r="D9" s="71">
        <v>48</v>
      </c>
      <c r="E9" s="69" t="s">
        <v>104</v>
      </c>
      <c r="F9" s="69" t="s">
        <v>120</v>
      </c>
      <c r="G9" s="69" t="s">
        <v>121</v>
      </c>
      <c r="H9" s="69" t="s">
        <v>128</v>
      </c>
      <c r="I9" s="69" t="s">
        <v>129</v>
      </c>
      <c r="J9" s="72">
        <v>78</v>
      </c>
    </row>
    <row r="10" spans="1:10" ht="15" customHeight="1">
      <c r="A10" s="70">
        <v>43833</v>
      </c>
      <c r="B10" s="69" t="s">
        <v>130</v>
      </c>
      <c r="C10" s="69" t="s">
        <v>116</v>
      </c>
      <c r="D10" s="71">
        <v>9</v>
      </c>
      <c r="E10" s="69" t="s">
        <v>113</v>
      </c>
      <c r="F10" s="69" t="s">
        <v>105</v>
      </c>
      <c r="G10" s="69" t="s">
        <v>105</v>
      </c>
      <c r="H10" s="69" t="s">
        <v>131</v>
      </c>
      <c r="I10" s="69" t="s">
        <v>107</v>
      </c>
      <c r="J10" s="72">
        <v>400</v>
      </c>
    </row>
    <row r="11" spans="1:10" ht="15" customHeight="1">
      <c r="A11" s="70">
        <v>43833</v>
      </c>
      <c r="B11" s="69" t="s">
        <v>132</v>
      </c>
      <c r="C11" s="69" t="s">
        <v>116</v>
      </c>
      <c r="D11" s="71">
        <v>66</v>
      </c>
      <c r="E11" s="69" t="s">
        <v>113</v>
      </c>
      <c r="F11" s="69" t="s">
        <v>105</v>
      </c>
      <c r="G11" s="69" t="s">
        <v>105</v>
      </c>
      <c r="H11" s="69" t="s">
        <v>110</v>
      </c>
      <c r="I11" s="69" t="s">
        <v>107</v>
      </c>
      <c r="J11" s="72">
        <v>400</v>
      </c>
    </row>
    <row r="12" spans="1:10" ht="15" customHeight="1">
      <c r="A12" s="70">
        <v>43834</v>
      </c>
      <c r="B12" s="69" t="s">
        <v>133</v>
      </c>
      <c r="C12" s="69" t="s">
        <v>103</v>
      </c>
      <c r="D12" s="71">
        <v>6</v>
      </c>
      <c r="E12" s="69" t="s">
        <v>109</v>
      </c>
      <c r="F12" s="69" t="s">
        <v>120</v>
      </c>
      <c r="G12" s="69" t="s">
        <v>125</v>
      </c>
      <c r="H12" s="69" t="s">
        <v>128</v>
      </c>
      <c r="I12" s="69" t="s">
        <v>118</v>
      </c>
      <c r="J12" s="72">
        <v>65</v>
      </c>
    </row>
    <row r="13" spans="1:10" ht="15" customHeight="1">
      <c r="A13" s="70">
        <v>43834</v>
      </c>
      <c r="B13" s="69" t="s">
        <v>134</v>
      </c>
      <c r="C13" s="69" t="s">
        <v>116</v>
      </c>
      <c r="D13" s="71">
        <v>3</v>
      </c>
      <c r="E13" s="69" t="s">
        <v>113</v>
      </c>
      <c r="F13" s="69" t="s">
        <v>105</v>
      </c>
      <c r="G13" s="69" t="s">
        <v>105</v>
      </c>
      <c r="H13" s="69" t="s">
        <v>131</v>
      </c>
      <c r="I13" s="69" t="s">
        <v>111</v>
      </c>
      <c r="J13" s="72">
        <v>400</v>
      </c>
    </row>
    <row r="14" spans="1:10" ht="15" customHeight="1">
      <c r="A14" s="70">
        <v>43834</v>
      </c>
      <c r="B14" s="69" t="s">
        <v>135</v>
      </c>
      <c r="C14" s="69" t="s">
        <v>103</v>
      </c>
      <c r="D14" s="71">
        <v>36</v>
      </c>
      <c r="E14" s="69" t="s">
        <v>104</v>
      </c>
      <c r="F14" s="69" t="s">
        <v>105</v>
      </c>
      <c r="G14" s="69" t="s">
        <v>105</v>
      </c>
      <c r="H14" s="69" t="s">
        <v>128</v>
      </c>
      <c r="I14" s="69" t="s">
        <v>118</v>
      </c>
      <c r="J14" s="72">
        <v>400</v>
      </c>
    </row>
    <row r="15" spans="1:10" ht="15" customHeight="1">
      <c r="A15" s="70">
        <v>43834</v>
      </c>
      <c r="B15" s="69" t="s">
        <v>136</v>
      </c>
      <c r="C15" s="69" t="s">
        <v>116</v>
      </c>
      <c r="D15" s="71">
        <v>14</v>
      </c>
      <c r="E15" s="69" t="s">
        <v>109</v>
      </c>
      <c r="F15" s="69" t="s">
        <v>105</v>
      </c>
      <c r="G15" s="69" t="s">
        <v>105</v>
      </c>
      <c r="H15" s="69" t="s">
        <v>137</v>
      </c>
      <c r="I15" s="69" t="s">
        <v>111</v>
      </c>
      <c r="J15" s="72">
        <v>400</v>
      </c>
    </row>
    <row r="16" spans="1:10" ht="15" customHeight="1">
      <c r="A16" s="70">
        <v>43834</v>
      </c>
      <c r="B16" s="69" t="s">
        <v>138</v>
      </c>
      <c r="C16" s="69" t="s">
        <v>103</v>
      </c>
      <c r="D16" s="71">
        <v>34</v>
      </c>
      <c r="E16" s="69" t="s">
        <v>139</v>
      </c>
      <c r="F16" s="69" t="s">
        <v>120</v>
      </c>
      <c r="G16" s="69" t="s">
        <v>123</v>
      </c>
      <c r="H16" s="69" t="s">
        <v>106</v>
      </c>
      <c r="I16" s="69" t="s">
        <v>111</v>
      </c>
      <c r="J16" s="72">
        <v>90</v>
      </c>
    </row>
    <row r="17" spans="1:10" ht="15" customHeight="1">
      <c r="A17" s="70">
        <v>43834</v>
      </c>
      <c r="B17" s="69" t="s">
        <v>140</v>
      </c>
      <c r="C17" s="69" t="s">
        <v>103</v>
      </c>
      <c r="D17" s="71">
        <v>23</v>
      </c>
      <c r="E17" s="69" t="s">
        <v>113</v>
      </c>
      <c r="F17" s="69" t="s">
        <v>105</v>
      </c>
      <c r="G17" s="69" t="s">
        <v>105</v>
      </c>
      <c r="H17" s="69" t="s">
        <v>117</v>
      </c>
      <c r="I17" s="69" t="s">
        <v>114</v>
      </c>
      <c r="J17" s="72">
        <v>400</v>
      </c>
    </row>
    <row r="18" spans="1:10" ht="15" customHeight="1">
      <c r="A18" s="70">
        <v>43834</v>
      </c>
      <c r="B18" s="69" t="s">
        <v>141</v>
      </c>
      <c r="C18" s="69" t="s">
        <v>116</v>
      </c>
      <c r="D18" s="71">
        <v>61</v>
      </c>
      <c r="E18" s="69" t="s">
        <v>113</v>
      </c>
      <c r="F18" s="69" t="s">
        <v>120</v>
      </c>
      <c r="G18" s="69" t="s">
        <v>142</v>
      </c>
      <c r="H18" s="69" t="s">
        <v>128</v>
      </c>
      <c r="I18" s="69" t="s">
        <v>118</v>
      </c>
      <c r="J18" s="72">
        <v>52</v>
      </c>
    </row>
    <row r="19" spans="1:10" ht="15" customHeight="1">
      <c r="A19" s="70">
        <v>43835</v>
      </c>
      <c r="B19" s="69" t="s">
        <v>143</v>
      </c>
      <c r="C19" s="69" t="s">
        <v>103</v>
      </c>
      <c r="D19" s="71">
        <v>25</v>
      </c>
      <c r="E19" s="69" t="s">
        <v>104</v>
      </c>
      <c r="F19" s="69" t="s">
        <v>120</v>
      </c>
      <c r="G19" s="69" t="s">
        <v>142</v>
      </c>
      <c r="H19" s="69" t="s">
        <v>110</v>
      </c>
      <c r="I19" s="69" t="s">
        <v>107</v>
      </c>
      <c r="J19" s="72">
        <v>52</v>
      </c>
    </row>
    <row r="20" spans="1:10" ht="15" customHeight="1">
      <c r="A20" s="70">
        <v>43835</v>
      </c>
      <c r="B20" s="69" t="s">
        <v>144</v>
      </c>
      <c r="C20" s="69" t="s">
        <v>116</v>
      </c>
      <c r="D20" s="71">
        <v>65</v>
      </c>
      <c r="E20" s="69" t="s">
        <v>104</v>
      </c>
      <c r="F20" s="69" t="s">
        <v>105</v>
      </c>
      <c r="G20" s="69" t="s">
        <v>105</v>
      </c>
      <c r="H20" s="69" t="s">
        <v>145</v>
      </c>
      <c r="I20" s="69" t="s">
        <v>114</v>
      </c>
      <c r="J20" s="72">
        <v>400</v>
      </c>
    </row>
    <row r="21" spans="1:10" ht="15" customHeight="1">
      <c r="A21" s="70">
        <v>43835</v>
      </c>
      <c r="B21" s="69" t="s">
        <v>146</v>
      </c>
      <c r="C21" s="69" t="s">
        <v>116</v>
      </c>
      <c r="D21" s="71">
        <v>67</v>
      </c>
      <c r="E21" s="69" t="s">
        <v>113</v>
      </c>
      <c r="F21" s="69" t="s">
        <v>120</v>
      </c>
      <c r="G21" s="69" t="s">
        <v>121</v>
      </c>
      <c r="H21" s="69" t="s">
        <v>137</v>
      </c>
      <c r="I21" s="69" t="s">
        <v>129</v>
      </c>
      <c r="J21" s="72">
        <v>78</v>
      </c>
    </row>
    <row r="22" spans="1:10" ht="15" customHeight="1">
      <c r="A22" s="70">
        <v>43835</v>
      </c>
      <c r="B22" s="69" t="s">
        <v>147</v>
      </c>
      <c r="C22" s="69" t="s">
        <v>116</v>
      </c>
      <c r="D22" s="71">
        <v>30</v>
      </c>
      <c r="E22" s="69" t="s">
        <v>139</v>
      </c>
      <c r="F22" s="69" t="s">
        <v>105</v>
      </c>
      <c r="G22" s="69" t="s">
        <v>105</v>
      </c>
      <c r="H22" s="69" t="s">
        <v>117</v>
      </c>
      <c r="I22" s="69" t="s">
        <v>111</v>
      </c>
      <c r="J22" s="72">
        <v>400</v>
      </c>
    </row>
    <row r="23" spans="1:10" ht="15" customHeight="1">
      <c r="A23" s="70">
        <v>43836</v>
      </c>
      <c r="B23" s="69" t="s">
        <v>148</v>
      </c>
      <c r="C23" s="69" t="s">
        <v>103</v>
      </c>
      <c r="D23" s="71">
        <v>55</v>
      </c>
      <c r="E23" s="69" t="s">
        <v>104</v>
      </c>
      <c r="F23" s="69" t="s">
        <v>105</v>
      </c>
      <c r="G23" s="69" t="s">
        <v>105</v>
      </c>
      <c r="H23" s="69" t="s">
        <v>128</v>
      </c>
      <c r="I23" s="69" t="s">
        <v>114</v>
      </c>
      <c r="J23" s="72">
        <v>400</v>
      </c>
    </row>
    <row r="24" spans="1:10" ht="15" customHeight="1">
      <c r="A24" s="70">
        <v>43836</v>
      </c>
      <c r="B24" s="69" t="s">
        <v>149</v>
      </c>
      <c r="C24" s="69" t="s">
        <v>103</v>
      </c>
      <c r="D24" s="71">
        <v>60</v>
      </c>
      <c r="E24" s="69" t="s">
        <v>139</v>
      </c>
      <c r="F24" s="69" t="s">
        <v>105</v>
      </c>
      <c r="G24" s="69" t="s">
        <v>105</v>
      </c>
      <c r="H24" s="69" t="s">
        <v>137</v>
      </c>
      <c r="I24" s="69" t="s">
        <v>118</v>
      </c>
      <c r="J24" s="72">
        <v>400</v>
      </c>
    </row>
    <row r="25" spans="1:10" ht="15" customHeight="1">
      <c r="A25" s="70">
        <v>43836</v>
      </c>
      <c r="B25" s="69" t="s">
        <v>150</v>
      </c>
      <c r="C25" s="69" t="s">
        <v>103</v>
      </c>
      <c r="D25" s="71">
        <v>10</v>
      </c>
      <c r="E25" s="69" t="s">
        <v>104</v>
      </c>
      <c r="F25" s="69" t="s">
        <v>120</v>
      </c>
      <c r="G25" s="69" t="s">
        <v>125</v>
      </c>
      <c r="H25" s="69" t="s">
        <v>128</v>
      </c>
      <c r="I25" s="69" t="s">
        <v>118</v>
      </c>
      <c r="J25" s="72">
        <v>65</v>
      </c>
    </row>
    <row r="26" spans="1:10" ht="15" customHeight="1">
      <c r="A26" s="70">
        <v>43837</v>
      </c>
      <c r="B26" s="69" t="s">
        <v>151</v>
      </c>
      <c r="C26" s="69" t="s">
        <v>116</v>
      </c>
      <c r="D26" s="71">
        <v>25</v>
      </c>
      <c r="E26" s="69" t="s">
        <v>113</v>
      </c>
      <c r="F26" s="69" t="s">
        <v>120</v>
      </c>
      <c r="G26" s="69" t="s">
        <v>121</v>
      </c>
      <c r="H26" s="69" t="s">
        <v>117</v>
      </c>
      <c r="I26" s="69" t="s">
        <v>107</v>
      </c>
      <c r="J26" s="72">
        <v>78</v>
      </c>
    </row>
    <row r="27" spans="1:10" ht="15" customHeight="1">
      <c r="A27" s="70">
        <v>43837</v>
      </c>
      <c r="B27" s="69" t="s">
        <v>152</v>
      </c>
      <c r="C27" s="69" t="s">
        <v>103</v>
      </c>
      <c r="D27" s="71">
        <v>30</v>
      </c>
      <c r="E27" s="69" t="s">
        <v>109</v>
      </c>
      <c r="F27" s="69" t="s">
        <v>105</v>
      </c>
      <c r="G27" s="69" t="s">
        <v>105</v>
      </c>
      <c r="H27" s="69" t="s">
        <v>110</v>
      </c>
      <c r="I27" s="69" t="s">
        <v>118</v>
      </c>
      <c r="J27" s="72">
        <v>400</v>
      </c>
    </row>
    <row r="28" spans="1:10" ht="15" customHeight="1">
      <c r="A28" s="70">
        <v>43837</v>
      </c>
      <c r="B28" s="69" t="s">
        <v>153</v>
      </c>
      <c r="C28" s="69" t="s">
        <v>116</v>
      </c>
      <c r="D28" s="71">
        <v>44</v>
      </c>
      <c r="E28" s="69" t="s">
        <v>113</v>
      </c>
      <c r="F28" s="69" t="s">
        <v>105</v>
      </c>
      <c r="G28" s="69" t="s">
        <v>105</v>
      </c>
      <c r="H28" s="69" t="s">
        <v>117</v>
      </c>
      <c r="I28" s="69" t="s">
        <v>107</v>
      </c>
      <c r="J28" s="72">
        <v>400</v>
      </c>
    </row>
    <row r="29" spans="1:10" ht="15" customHeight="1">
      <c r="A29" s="70">
        <v>43838</v>
      </c>
      <c r="B29" s="69" t="s">
        <v>154</v>
      </c>
      <c r="C29" s="69" t="s">
        <v>116</v>
      </c>
      <c r="D29" s="71">
        <v>26</v>
      </c>
      <c r="E29" s="69" t="s">
        <v>139</v>
      </c>
      <c r="F29" s="69" t="s">
        <v>105</v>
      </c>
      <c r="G29" s="69" t="s">
        <v>105</v>
      </c>
      <c r="H29" s="69" t="s">
        <v>117</v>
      </c>
      <c r="I29" s="69" t="s">
        <v>118</v>
      </c>
      <c r="J29" s="72">
        <v>400</v>
      </c>
    </row>
    <row r="30" spans="1:10" ht="15" customHeight="1">
      <c r="A30" s="70">
        <v>43838</v>
      </c>
      <c r="B30" s="69" t="s">
        <v>155</v>
      </c>
      <c r="C30" s="69" t="s">
        <v>116</v>
      </c>
      <c r="D30" s="71">
        <v>29</v>
      </c>
      <c r="E30" s="69" t="s">
        <v>104</v>
      </c>
      <c r="F30" s="69" t="s">
        <v>105</v>
      </c>
      <c r="G30" s="69" t="s">
        <v>105</v>
      </c>
      <c r="H30" s="69" t="s">
        <v>128</v>
      </c>
      <c r="I30" s="69" t="s">
        <v>107</v>
      </c>
      <c r="J30" s="72">
        <v>400</v>
      </c>
    </row>
    <row r="31" spans="1:10" ht="15" customHeight="1">
      <c r="A31" s="70">
        <v>43838</v>
      </c>
      <c r="B31" s="69" t="s">
        <v>156</v>
      </c>
      <c r="C31" s="69" t="s">
        <v>116</v>
      </c>
      <c r="D31" s="71">
        <v>66</v>
      </c>
      <c r="E31" s="69" t="s">
        <v>109</v>
      </c>
      <c r="F31" s="69" t="s">
        <v>120</v>
      </c>
      <c r="G31" s="69" t="s">
        <v>125</v>
      </c>
      <c r="H31" s="69" t="s">
        <v>117</v>
      </c>
      <c r="I31" s="69" t="s">
        <v>111</v>
      </c>
      <c r="J31" s="72">
        <v>65</v>
      </c>
    </row>
    <row r="32" spans="1:10" ht="15" customHeight="1">
      <c r="A32" s="70">
        <v>43838</v>
      </c>
      <c r="B32" s="69" t="s">
        <v>157</v>
      </c>
      <c r="C32" s="69" t="s">
        <v>116</v>
      </c>
      <c r="D32" s="71">
        <v>49</v>
      </c>
      <c r="E32" s="69" t="s">
        <v>104</v>
      </c>
      <c r="F32" s="69" t="s">
        <v>105</v>
      </c>
      <c r="G32" s="69" t="s">
        <v>105</v>
      </c>
      <c r="H32" s="69" t="s">
        <v>128</v>
      </c>
      <c r="I32" s="69" t="s">
        <v>118</v>
      </c>
      <c r="J32" s="72">
        <v>400</v>
      </c>
    </row>
    <row r="33" spans="1:10" ht="15" customHeight="1">
      <c r="A33" s="70">
        <v>43839</v>
      </c>
      <c r="B33" s="69" t="s">
        <v>158</v>
      </c>
      <c r="C33" s="69" t="s">
        <v>116</v>
      </c>
      <c r="D33" s="71">
        <v>2</v>
      </c>
      <c r="E33" s="69" t="s">
        <v>139</v>
      </c>
      <c r="F33" s="69" t="s">
        <v>105</v>
      </c>
      <c r="G33" s="69" t="s">
        <v>105</v>
      </c>
      <c r="H33" s="69" t="s">
        <v>137</v>
      </c>
      <c r="I33" s="69" t="s">
        <v>159</v>
      </c>
      <c r="J33" s="72">
        <v>400</v>
      </c>
    </row>
    <row r="34" spans="1:10" ht="15" customHeight="1">
      <c r="A34" s="70">
        <v>43839</v>
      </c>
      <c r="B34" s="69" t="s">
        <v>160</v>
      </c>
      <c r="C34" s="69" t="s">
        <v>116</v>
      </c>
      <c r="D34" s="71">
        <v>58</v>
      </c>
      <c r="E34" s="69" t="s">
        <v>104</v>
      </c>
      <c r="F34" s="69" t="s">
        <v>105</v>
      </c>
      <c r="G34" s="69" t="s">
        <v>105</v>
      </c>
      <c r="H34" s="69" t="s">
        <v>106</v>
      </c>
      <c r="I34" s="69" t="s">
        <v>114</v>
      </c>
      <c r="J34" s="72">
        <v>400</v>
      </c>
    </row>
    <row r="35" spans="1:10" ht="15" customHeight="1">
      <c r="A35" s="70">
        <v>43840</v>
      </c>
      <c r="B35" s="69" t="s">
        <v>161</v>
      </c>
      <c r="C35" s="69" t="s">
        <v>116</v>
      </c>
      <c r="D35" s="71">
        <v>74</v>
      </c>
      <c r="E35" s="69" t="s">
        <v>113</v>
      </c>
      <c r="F35" s="69" t="s">
        <v>105</v>
      </c>
      <c r="G35" s="69" t="s">
        <v>105</v>
      </c>
      <c r="H35" s="69" t="s">
        <v>131</v>
      </c>
      <c r="I35" s="69" t="s">
        <v>114</v>
      </c>
      <c r="J35" s="72">
        <v>400</v>
      </c>
    </row>
    <row r="36" spans="1:10" ht="15" customHeight="1">
      <c r="A36" s="70">
        <v>43840</v>
      </c>
      <c r="B36" s="69" t="s">
        <v>162</v>
      </c>
      <c r="C36" s="69" t="s">
        <v>116</v>
      </c>
      <c r="D36" s="71">
        <v>28</v>
      </c>
      <c r="E36" s="69" t="s">
        <v>113</v>
      </c>
      <c r="F36" s="69" t="s">
        <v>120</v>
      </c>
      <c r="G36" s="69" t="s">
        <v>123</v>
      </c>
      <c r="H36" s="69" t="s">
        <v>117</v>
      </c>
      <c r="I36" s="69" t="s">
        <v>111</v>
      </c>
      <c r="J36" s="72">
        <v>90</v>
      </c>
    </row>
    <row r="37" spans="1:10" ht="15" customHeight="1">
      <c r="A37" s="70">
        <v>43841</v>
      </c>
      <c r="B37" s="69" t="s">
        <v>163</v>
      </c>
      <c r="C37" s="69" t="s">
        <v>103</v>
      </c>
      <c r="D37" s="71">
        <v>4</v>
      </c>
      <c r="E37" s="69" t="s">
        <v>109</v>
      </c>
      <c r="F37" s="69" t="s">
        <v>105</v>
      </c>
      <c r="G37" s="69" t="s">
        <v>105</v>
      </c>
      <c r="H37" s="69" t="s">
        <v>145</v>
      </c>
      <c r="I37" s="69" t="s">
        <v>114</v>
      </c>
      <c r="J37" s="72">
        <v>400</v>
      </c>
    </row>
    <row r="38" spans="1:10" ht="15" customHeight="1">
      <c r="A38" s="70">
        <v>43842</v>
      </c>
      <c r="B38" s="69" t="s">
        <v>164</v>
      </c>
      <c r="C38" s="69" t="s">
        <v>103</v>
      </c>
      <c r="D38" s="71">
        <v>56</v>
      </c>
      <c r="E38" s="69" t="s">
        <v>104</v>
      </c>
      <c r="F38" s="69" t="s">
        <v>105</v>
      </c>
      <c r="G38" s="69" t="s">
        <v>105</v>
      </c>
      <c r="H38" s="69" t="s">
        <v>106</v>
      </c>
      <c r="I38" s="69" t="s">
        <v>114</v>
      </c>
      <c r="J38" s="72">
        <v>400</v>
      </c>
    </row>
    <row r="39" spans="1:10" ht="15" customHeight="1">
      <c r="A39" s="70">
        <v>43842</v>
      </c>
      <c r="B39" s="69" t="s">
        <v>165</v>
      </c>
      <c r="C39" s="69" t="s">
        <v>116</v>
      </c>
      <c r="D39" s="71">
        <v>39</v>
      </c>
      <c r="E39" s="69" t="s">
        <v>109</v>
      </c>
      <c r="F39" s="69" t="s">
        <v>105</v>
      </c>
      <c r="G39" s="69" t="s">
        <v>105</v>
      </c>
      <c r="H39" s="69" t="s">
        <v>137</v>
      </c>
      <c r="I39" s="69" t="s">
        <v>118</v>
      </c>
      <c r="J39" s="72">
        <v>400</v>
      </c>
    </row>
    <row r="40" spans="1:10" ht="15" customHeight="1">
      <c r="A40" s="70">
        <v>43842</v>
      </c>
      <c r="B40" s="69" t="s">
        <v>166</v>
      </c>
      <c r="C40" s="69" t="s">
        <v>116</v>
      </c>
      <c r="D40" s="71">
        <v>42</v>
      </c>
      <c r="E40" s="69" t="s">
        <v>113</v>
      </c>
      <c r="F40" s="69" t="s">
        <v>105</v>
      </c>
      <c r="G40" s="69" t="s">
        <v>105</v>
      </c>
      <c r="H40" s="69" t="s">
        <v>137</v>
      </c>
      <c r="I40" s="69" t="s">
        <v>114</v>
      </c>
      <c r="J40" s="72">
        <v>400</v>
      </c>
    </row>
    <row r="41" spans="1:10" ht="15" customHeight="1">
      <c r="A41" s="70">
        <v>43842</v>
      </c>
      <c r="B41" s="69" t="s">
        <v>167</v>
      </c>
      <c r="C41" s="69" t="s">
        <v>116</v>
      </c>
      <c r="D41" s="71">
        <v>30</v>
      </c>
      <c r="E41" s="69" t="s">
        <v>113</v>
      </c>
      <c r="F41" s="69" t="s">
        <v>105</v>
      </c>
      <c r="G41" s="69" t="s">
        <v>105</v>
      </c>
      <c r="H41" s="69" t="s">
        <v>117</v>
      </c>
      <c r="I41" s="69" t="s">
        <v>107</v>
      </c>
      <c r="J41" s="72">
        <v>400</v>
      </c>
    </row>
    <row r="42" spans="1:10" ht="15" customHeight="1">
      <c r="A42" s="70">
        <v>43843</v>
      </c>
      <c r="B42" s="69" t="s">
        <v>168</v>
      </c>
      <c r="C42" s="69" t="s">
        <v>103</v>
      </c>
      <c r="D42" s="71">
        <v>43</v>
      </c>
      <c r="E42" s="69" t="s">
        <v>113</v>
      </c>
      <c r="F42" s="69" t="s">
        <v>105</v>
      </c>
      <c r="G42" s="69" t="s">
        <v>105</v>
      </c>
      <c r="H42" s="69" t="s">
        <v>106</v>
      </c>
      <c r="I42" s="69" t="s">
        <v>114</v>
      </c>
      <c r="J42" s="72">
        <v>400</v>
      </c>
    </row>
    <row r="43" spans="1:10" ht="15" customHeight="1">
      <c r="A43" s="70">
        <v>43843</v>
      </c>
      <c r="B43" s="69" t="s">
        <v>169</v>
      </c>
      <c r="C43" s="69" t="s">
        <v>103</v>
      </c>
      <c r="D43" s="71">
        <v>51</v>
      </c>
      <c r="E43" s="69" t="s">
        <v>104</v>
      </c>
      <c r="F43" s="69" t="s">
        <v>105</v>
      </c>
      <c r="G43" s="69" t="s">
        <v>105</v>
      </c>
      <c r="H43" s="69" t="s">
        <v>106</v>
      </c>
      <c r="I43" s="69" t="s">
        <v>111</v>
      </c>
      <c r="J43" s="72">
        <v>400</v>
      </c>
    </row>
    <row r="44" spans="1:10" ht="15" customHeight="1">
      <c r="A44" s="70">
        <v>43843</v>
      </c>
      <c r="B44" s="69" t="s">
        <v>170</v>
      </c>
      <c r="C44" s="69" t="s">
        <v>103</v>
      </c>
      <c r="D44" s="71">
        <v>24</v>
      </c>
      <c r="E44" s="69" t="s">
        <v>104</v>
      </c>
      <c r="F44" s="69" t="s">
        <v>120</v>
      </c>
      <c r="G44" s="69" t="s">
        <v>121</v>
      </c>
      <c r="H44" s="69" t="s">
        <v>131</v>
      </c>
      <c r="I44" s="69" t="s">
        <v>159</v>
      </c>
      <c r="J44" s="72">
        <v>78</v>
      </c>
    </row>
    <row r="45" spans="1:10" ht="15" customHeight="1">
      <c r="A45" s="70">
        <v>43843</v>
      </c>
      <c r="B45" s="69" t="s">
        <v>171</v>
      </c>
      <c r="C45" s="69" t="s">
        <v>103</v>
      </c>
      <c r="D45" s="71">
        <v>63</v>
      </c>
      <c r="E45" s="69" t="s">
        <v>113</v>
      </c>
      <c r="F45" s="69" t="s">
        <v>105</v>
      </c>
      <c r="G45" s="69" t="s">
        <v>105</v>
      </c>
      <c r="H45" s="69" t="s">
        <v>110</v>
      </c>
      <c r="I45" s="69" t="s">
        <v>107</v>
      </c>
      <c r="J45" s="72">
        <v>400</v>
      </c>
    </row>
    <row r="46" spans="1:10" ht="15" customHeight="1">
      <c r="A46" s="70">
        <v>43844</v>
      </c>
      <c r="B46" s="69" t="s">
        <v>172</v>
      </c>
      <c r="C46" s="69" t="s">
        <v>116</v>
      </c>
      <c r="D46" s="71">
        <v>66</v>
      </c>
      <c r="E46" s="69" t="s">
        <v>109</v>
      </c>
      <c r="F46" s="69" t="s">
        <v>120</v>
      </c>
      <c r="G46" s="69" t="s">
        <v>121</v>
      </c>
      <c r="H46" s="69" t="s">
        <v>110</v>
      </c>
      <c r="I46" s="69" t="s">
        <v>114</v>
      </c>
      <c r="J46" s="72">
        <v>78</v>
      </c>
    </row>
    <row r="47" spans="1:10" ht="15" customHeight="1">
      <c r="A47" s="70">
        <v>43844</v>
      </c>
      <c r="B47" s="69" t="s">
        <v>173</v>
      </c>
      <c r="C47" s="69" t="s">
        <v>103</v>
      </c>
      <c r="D47" s="71">
        <v>65</v>
      </c>
      <c r="E47" s="69" t="s">
        <v>104</v>
      </c>
      <c r="F47" s="69" t="s">
        <v>105</v>
      </c>
      <c r="G47" s="69" t="s">
        <v>105</v>
      </c>
      <c r="H47" s="69" t="s">
        <v>106</v>
      </c>
      <c r="I47" s="69" t="s">
        <v>118</v>
      </c>
      <c r="J47" s="72">
        <v>400</v>
      </c>
    </row>
    <row r="48" spans="1:10" ht="15" customHeight="1">
      <c r="A48" s="70">
        <v>43844</v>
      </c>
      <c r="B48" s="69" t="s">
        <v>174</v>
      </c>
      <c r="C48" s="69" t="s">
        <v>116</v>
      </c>
      <c r="D48" s="71">
        <v>14</v>
      </c>
      <c r="E48" s="69" t="s">
        <v>109</v>
      </c>
      <c r="F48" s="69" t="s">
        <v>105</v>
      </c>
      <c r="G48" s="69" t="s">
        <v>105</v>
      </c>
      <c r="H48" s="69" t="s">
        <v>110</v>
      </c>
      <c r="I48" s="69" t="s">
        <v>111</v>
      </c>
      <c r="J48" s="72">
        <v>400</v>
      </c>
    </row>
    <row r="49" spans="1:10" ht="15" customHeight="1">
      <c r="A49" s="70">
        <v>43845</v>
      </c>
      <c r="B49" s="69" t="s">
        <v>175</v>
      </c>
      <c r="C49" s="69" t="s">
        <v>103</v>
      </c>
      <c r="D49" s="71">
        <v>6</v>
      </c>
      <c r="E49" s="69" t="s">
        <v>139</v>
      </c>
      <c r="F49" s="69" t="s">
        <v>120</v>
      </c>
      <c r="G49" s="69" t="s">
        <v>142</v>
      </c>
      <c r="H49" s="69" t="s">
        <v>110</v>
      </c>
      <c r="I49" s="69" t="s">
        <v>118</v>
      </c>
      <c r="J49" s="72">
        <v>52</v>
      </c>
    </row>
    <row r="50" spans="1:10" ht="15" customHeight="1">
      <c r="A50" s="70">
        <v>43845</v>
      </c>
      <c r="B50" s="69" t="s">
        <v>176</v>
      </c>
      <c r="C50" s="69" t="s">
        <v>116</v>
      </c>
      <c r="D50" s="71">
        <v>10</v>
      </c>
      <c r="E50" s="69" t="s">
        <v>139</v>
      </c>
      <c r="F50" s="69" t="s">
        <v>120</v>
      </c>
      <c r="G50" s="69" t="s">
        <v>125</v>
      </c>
      <c r="H50" s="69" t="s">
        <v>137</v>
      </c>
      <c r="I50" s="69" t="s">
        <v>107</v>
      </c>
      <c r="J50" s="72">
        <v>65</v>
      </c>
    </row>
    <row r="51" spans="1:10" ht="15" customHeight="1">
      <c r="A51" s="70">
        <v>43846</v>
      </c>
      <c r="B51" s="69" t="s">
        <v>177</v>
      </c>
      <c r="C51" s="69" t="s">
        <v>116</v>
      </c>
      <c r="D51" s="71">
        <v>32</v>
      </c>
      <c r="E51" s="69" t="s">
        <v>113</v>
      </c>
      <c r="F51" s="69" t="s">
        <v>105</v>
      </c>
      <c r="G51" s="69" t="s">
        <v>105</v>
      </c>
      <c r="H51" s="69" t="s">
        <v>128</v>
      </c>
      <c r="I51" s="69" t="s">
        <v>129</v>
      </c>
      <c r="J51" s="72">
        <v>400</v>
      </c>
    </row>
    <row r="52" spans="1:10" ht="15" customHeight="1">
      <c r="A52" s="70">
        <v>43846</v>
      </c>
      <c r="B52" s="69" t="s">
        <v>178</v>
      </c>
      <c r="C52" s="69" t="s">
        <v>116</v>
      </c>
      <c r="D52" s="71">
        <v>16</v>
      </c>
      <c r="E52" s="69" t="s">
        <v>104</v>
      </c>
      <c r="F52" s="69" t="s">
        <v>120</v>
      </c>
      <c r="G52" s="69" t="s">
        <v>121</v>
      </c>
      <c r="H52" s="69" t="s">
        <v>137</v>
      </c>
      <c r="I52" s="69" t="s">
        <v>118</v>
      </c>
      <c r="J52" s="72">
        <v>78</v>
      </c>
    </row>
    <row r="53" spans="1:10" ht="15" customHeight="1">
      <c r="A53" s="70">
        <v>43846</v>
      </c>
      <c r="B53" s="69" t="s">
        <v>179</v>
      </c>
      <c r="C53" s="69" t="s">
        <v>116</v>
      </c>
      <c r="D53" s="71">
        <v>23</v>
      </c>
      <c r="E53" s="69" t="s">
        <v>104</v>
      </c>
      <c r="F53" s="69" t="s">
        <v>120</v>
      </c>
      <c r="G53" s="69" t="s">
        <v>125</v>
      </c>
      <c r="H53" s="69" t="s">
        <v>137</v>
      </c>
      <c r="I53" s="69" t="s">
        <v>111</v>
      </c>
      <c r="J53" s="72">
        <v>65</v>
      </c>
    </row>
    <row r="54" spans="1:10" ht="15" customHeight="1">
      <c r="A54" s="70">
        <v>43846</v>
      </c>
      <c r="B54" s="69" t="s">
        <v>180</v>
      </c>
      <c r="C54" s="69" t="s">
        <v>116</v>
      </c>
      <c r="D54" s="71">
        <v>53</v>
      </c>
      <c r="E54" s="69" t="s">
        <v>113</v>
      </c>
      <c r="F54" s="69" t="s">
        <v>120</v>
      </c>
      <c r="G54" s="69" t="s">
        <v>142</v>
      </c>
      <c r="H54" s="69" t="s">
        <v>106</v>
      </c>
      <c r="I54" s="69" t="s">
        <v>107</v>
      </c>
      <c r="J54" s="72">
        <v>52</v>
      </c>
    </row>
    <row r="55" spans="1:10" ht="15" customHeight="1">
      <c r="A55" s="70">
        <v>43847</v>
      </c>
      <c r="B55" s="69" t="s">
        <v>181</v>
      </c>
      <c r="C55" s="69" t="s">
        <v>116</v>
      </c>
      <c r="D55" s="71">
        <v>19</v>
      </c>
      <c r="E55" s="69" t="s">
        <v>113</v>
      </c>
      <c r="F55" s="69" t="s">
        <v>105</v>
      </c>
      <c r="G55" s="69" t="s">
        <v>105</v>
      </c>
      <c r="H55" s="69" t="s">
        <v>128</v>
      </c>
      <c r="I55" s="69" t="s">
        <v>114</v>
      </c>
      <c r="J55" s="72">
        <v>400</v>
      </c>
    </row>
    <row r="56" spans="1:10" ht="15" customHeight="1">
      <c r="A56" s="70">
        <v>43848</v>
      </c>
      <c r="B56" s="69" t="s">
        <v>182</v>
      </c>
      <c r="C56" s="69" t="s">
        <v>103</v>
      </c>
      <c r="D56" s="71">
        <v>11</v>
      </c>
      <c r="E56" s="69" t="s">
        <v>113</v>
      </c>
      <c r="F56" s="69" t="s">
        <v>105</v>
      </c>
      <c r="G56" s="69" t="s">
        <v>105</v>
      </c>
      <c r="H56" s="69" t="s">
        <v>128</v>
      </c>
      <c r="I56" s="69" t="s">
        <v>129</v>
      </c>
      <c r="J56" s="72">
        <v>400</v>
      </c>
    </row>
    <row r="57" spans="1:10" ht="15" customHeight="1">
      <c r="A57" s="70">
        <v>43848</v>
      </c>
      <c r="B57" s="69" t="s">
        <v>183</v>
      </c>
      <c r="C57" s="69" t="s">
        <v>116</v>
      </c>
      <c r="D57" s="71">
        <v>44</v>
      </c>
      <c r="E57" s="69" t="s">
        <v>109</v>
      </c>
      <c r="F57" s="69" t="s">
        <v>105</v>
      </c>
      <c r="G57" s="69" t="s">
        <v>105</v>
      </c>
      <c r="H57" s="69" t="s">
        <v>106</v>
      </c>
      <c r="I57" s="69" t="s">
        <v>111</v>
      </c>
      <c r="J57" s="72">
        <v>400</v>
      </c>
    </row>
    <row r="58" spans="1:10" ht="15" customHeight="1">
      <c r="A58" s="70">
        <v>43849</v>
      </c>
      <c r="B58" s="69" t="s">
        <v>184</v>
      </c>
      <c r="C58" s="69" t="s">
        <v>116</v>
      </c>
      <c r="D58" s="71">
        <v>60</v>
      </c>
      <c r="E58" s="69" t="s">
        <v>109</v>
      </c>
      <c r="F58" s="69" t="s">
        <v>120</v>
      </c>
      <c r="G58" s="69" t="s">
        <v>142</v>
      </c>
      <c r="H58" s="69" t="s">
        <v>117</v>
      </c>
      <c r="I58" s="69" t="s">
        <v>111</v>
      </c>
      <c r="J58" s="72">
        <v>52</v>
      </c>
    </row>
    <row r="59" spans="1:10" ht="15" customHeight="1">
      <c r="A59" s="70">
        <v>43849</v>
      </c>
      <c r="B59" s="69" t="s">
        <v>185</v>
      </c>
      <c r="C59" s="69" t="s">
        <v>116</v>
      </c>
      <c r="D59" s="71">
        <v>47</v>
      </c>
      <c r="E59" s="69" t="s">
        <v>104</v>
      </c>
      <c r="F59" s="69" t="s">
        <v>105</v>
      </c>
      <c r="G59" s="69" t="s">
        <v>105</v>
      </c>
      <c r="H59" s="69" t="s">
        <v>110</v>
      </c>
      <c r="I59" s="69" t="s">
        <v>118</v>
      </c>
      <c r="J59" s="72">
        <v>400</v>
      </c>
    </row>
    <row r="60" spans="1:10" ht="15" customHeight="1">
      <c r="A60" s="70">
        <v>43849</v>
      </c>
      <c r="B60" s="69" t="s">
        <v>186</v>
      </c>
      <c r="C60" s="69" t="s">
        <v>116</v>
      </c>
      <c r="D60" s="71">
        <v>48</v>
      </c>
      <c r="E60" s="69" t="s">
        <v>104</v>
      </c>
      <c r="F60" s="69" t="s">
        <v>105</v>
      </c>
      <c r="G60" s="69" t="s">
        <v>105</v>
      </c>
      <c r="H60" s="69" t="s">
        <v>110</v>
      </c>
      <c r="I60" s="69" t="s">
        <v>129</v>
      </c>
      <c r="J60" s="72">
        <v>400</v>
      </c>
    </row>
    <row r="61" spans="1:10" ht="15" customHeight="1">
      <c r="A61" s="70">
        <v>43849</v>
      </c>
      <c r="B61" s="69" t="s">
        <v>187</v>
      </c>
      <c r="C61" s="69" t="s">
        <v>103</v>
      </c>
      <c r="D61" s="71">
        <v>45</v>
      </c>
      <c r="E61" s="69" t="s">
        <v>113</v>
      </c>
      <c r="F61" s="69" t="s">
        <v>120</v>
      </c>
      <c r="G61" s="69" t="s">
        <v>142</v>
      </c>
      <c r="H61" s="69" t="s">
        <v>110</v>
      </c>
      <c r="I61" s="69" t="s">
        <v>118</v>
      </c>
      <c r="J61" s="72">
        <v>52</v>
      </c>
    </row>
    <row r="62" spans="1:10" ht="15" customHeight="1">
      <c r="A62" s="70">
        <v>43849</v>
      </c>
      <c r="B62" s="69" t="s">
        <v>188</v>
      </c>
      <c r="C62" s="69" t="s">
        <v>116</v>
      </c>
      <c r="D62" s="71">
        <v>28</v>
      </c>
      <c r="E62" s="69" t="s">
        <v>113</v>
      </c>
      <c r="F62" s="69" t="s">
        <v>105</v>
      </c>
      <c r="G62" s="69" t="s">
        <v>105</v>
      </c>
      <c r="H62" s="69" t="s">
        <v>110</v>
      </c>
      <c r="I62" s="69" t="s">
        <v>107</v>
      </c>
      <c r="J62" s="72">
        <v>400</v>
      </c>
    </row>
    <row r="63" spans="1:10" ht="15" customHeight="1">
      <c r="A63" s="70">
        <v>43850</v>
      </c>
      <c r="B63" s="69" t="s">
        <v>189</v>
      </c>
      <c r="C63" s="69" t="s">
        <v>116</v>
      </c>
      <c r="D63" s="71">
        <v>40</v>
      </c>
      <c r="E63" s="69" t="s">
        <v>113</v>
      </c>
      <c r="F63" s="69" t="s">
        <v>120</v>
      </c>
      <c r="G63" s="69" t="s">
        <v>121</v>
      </c>
      <c r="H63" s="69" t="s">
        <v>131</v>
      </c>
      <c r="I63" s="69" t="s">
        <v>118</v>
      </c>
      <c r="J63" s="72">
        <v>78</v>
      </c>
    </row>
    <row r="64" spans="1:10" ht="15" customHeight="1">
      <c r="A64" s="70">
        <v>43850</v>
      </c>
      <c r="B64" s="69" t="s">
        <v>190</v>
      </c>
      <c r="C64" s="69" t="s">
        <v>103</v>
      </c>
      <c r="D64" s="71">
        <v>65</v>
      </c>
      <c r="E64" s="69" t="s">
        <v>109</v>
      </c>
      <c r="F64" s="69" t="s">
        <v>105</v>
      </c>
      <c r="G64" s="69" t="s">
        <v>105</v>
      </c>
      <c r="H64" s="69" t="s">
        <v>106</v>
      </c>
      <c r="I64" s="69" t="s">
        <v>114</v>
      </c>
      <c r="J64" s="72">
        <v>400</v>
      </c>
    </row>
    <row r="65" spans="1:10" ht="15" customHeight="1">
      <c r="A65" s="70">
        <v>43850</v>
      </c>
      <c r="B65" s="69" t="s">
        <v>191</v>
      </c>
      <c r="C65" s="69" t="s">
        <v>103</v>
      </c>
      <c r="D65" s="71">
        <v>45</v>
      </c>
      <c r="E65" s="69" t="s">
        <v>113</v>
      </c>
      <c r="F65" s="69" t="s">
        <v>105</v>
      </c>
      <c r="G65" s="69" t="s">
        <v>105</v>
      </c>
      <c r="H65" s="69" t="s">
        <v>128</v>
      </c>
      <c r="I65" s="69" t="s">
        <v>118</v>
      </c>
      <c r="J65" s="72">
        <v>400</v>
      </c>
    </row>
    <row r="66" spans="1:10" ht="15" customHeight="1">
      <c r="A66" s="70">
        <v>43850</v>
      </c>
      <c r="B66" s="69" t="s">
        <v>192</v>
      </c>
      <c r="C66" s="69" t="s">
        <v>103</v>
      </c>
      <c r="D66" s="71">
        <v>71</v>
      </c>
      <c r="E66" s="69" t="s">
        <v>109</v>
      </c>
      <c r="F66" s="69" t="s">
        <v>120</v>
      </c>
      <c r="G66" s="69" t="s">
        <v>121</v>
      </c>
      <c r="H66" s="69" t="s">
        <v>110</v>
      </c>
      <c r="I66" s="69" t="s">
        <v>114</v>
      </c>
      <c r="J66" s="72">
        <v>78</v>
      </c>
    </row>
    <row r="67" spans="1:10" ht="15" customHeight="1">
      <c r="A67" s="70">
        <v>43851</v>
      </c>
      <c r="B67" s="69" t="s">
        <v>193</v>
      </c>
      <c r="C67" s="69" t="s">
        <v>103</v>
      </c>
      <c r="D67" s="71">
        <v>54</v>
      </c>
      <c r="E67" s="69" t="s">
        <v>109</v>
      </c>
      <c r="F67" s="69" t="s">
        <v>105</v>
      </c>
      <c r="G67" s="69" t="s">
        <v>105</v>
      </c>
      <c r="H67" s="69" t="s">
        <v>137</v>
      </c>
      <c r="I67" s="69" t="s">
        <v>107</v>
      </c>
      <c r="J67" s="72">
        <v>400</v>
      </c>
    </row>
    <row r="68" spans="1:10" ht="15" customHeight="1">
      <c r="A68" s="70">
        <v>43851</v>
      </c>
      <c r="B68" s="69" t="s">
        <v>194</v>
      </c>
      <c r="C68" s="69" t="s">
        <v>103</v>
      </c>
      <c r="D68" s="71">
        <v>21</v>
      </c>
      <c r="E68" s="69" t="s">
        <v>139</v>
      </c>
      <c r="F68" s="69" t="s">
        <v>105</v>
      </c>
      <c r="G68" s="69" t="s">
        <v>105</v>
      </c>
      <c r="H68" s="69" t="s">
        <v>117</v>
      </c>
      <c r="I68" s="69" t="s">
        <v>118</v>
      </c>
      <c r="J68" s="72">
        <v>400</v>
      </c>
    </row>
    <row r="69" spans="1:10" ht="15" customHeight="1">
      <c r="A69" s="70">
        <v>43852</v>
      </c>
      <c r="B69" s="69" t="s">
        <v>195</v>
      </c>
      <c r="C69" s="69" t="s">
        <v>116</v>
      </c>
      <c r="D69" s="71">
        <v>73</v>
      </c>
      <c r="E69" s="69" t="s">
        <v>139</v>
      </c>
      <c r="F69" s="69" t="s">
        <v>105</v>
      </c>
      <c r="G69" s="69" t="s">
        <v>105</v>
      </c>
      <c r="H69" s="69" t="s">
        <v>106</v>
      </c>
      <c r="I69" s="69" t="s">
        <v>114</v>
      </c>
      <c r="J69" s="72">
        <v>400</v>
      </c>
    </row>
    <row r="70" spans="1:10" ht="15" customHeight="1">
      <c r="A70" s="70">
        <v>43852</v>
      </c>
      <c r="B70" s="69" t="s">
        <v>196</v>
      </c>
      <c r="C70" s="69" t="s">
        <v>116</v>
      </c>
      <c r="D70" s="71">
        <v>1</v>
      </c>
      <c r="E70" s="69" t="s">
        <v>104</v>
      </c>
      <c r="F70" s="69" t="s">
        <v>105</v>
      </c>
      <c r="G70" s="69" t="s">
        <v>105</v>
      </c>
      <c r="H70" s="69" t="s">
        <v>137</v>
      </c>
      <c r="I70" s="69" t="s">
        <v>111</v>
      </c>
      <c r="J70" s="72">
        <v>400</v>
      </c>
    </row>
    <row r="71" spans="1:10" ht="15" customHeight="1">
      <c r="A71" s="70">
        <v>43852</v>
      </c>
      <c r="B71" s="69" t="s">
        <v>197</v>
      </c>
      <c r="C71" s="69" t="s">
        <v>103</v>
      </c>
      <c r="D71" s="71">
        <v>1</v>
      </c>
      <c r="E71" s="69" t="s">
        <v>139</v>
      </c>
      <c r="F71" s="69" t="s">
        <v>120</v>
      </c>
      <c r="G71" s="69" t="s">
        <v>121</v>
      </c>
      <c r="H71" s="69" t="s">
        <v>131</v>
      </c>
      <c r="I71" s="69" t="s">
        <v>118</v>
      </c>
      <c r="J71" s="72">
        <v>78</v>
      </c>
    </row>
    <row r="72" spans="1:10" ht="15" customHeight="1">
      <c r="A72" s="70">
        <v>43853</v>
      </c>
      <c r="B72" s="69" t="s">
        <v>198</v>
      </c>
      <c r="C72" s="69" t="s">
        <v>103</v>
      </c>
      <c r="D72" s="71">
        <v>45</v>
      </c>
      <c r="E72" s="69" t="s">
        <v>104</v>
      </c>
      <c r="F72" s="69" t="s">
        <v>105</v>
      </c>
      <c r="G72" s="69" t="s">
        <v>105</v>
      </c>
      <c r="H72" s="69" t="s">
        <v>117</v>
      </c>
      <c r="I72" s="69" t="s">
        <v>118</v>
      </c>
      <c r="J72" s="72">
        <v>400</v>
      </c>
    </row>
    <row r="73" spans="1:10" ht="15" customHeight="1">
      <c r="A73" s="70">
        <v>43854</v>
      </c>
      <c r="B73" s="69" t="s">
        <v>199</v>
      </c>
      <c r="C73" s="69" t="s">
        <v>116</v>
      </c>
      <c r="D73" s="71">
        <v>21</v>
      </c>
      <c r="E73" s="69" t="s">
        <v>113</v>
      </c>
      <c r="F73" s="69" t="s">
        <v>105</v>
      </c>
      <c r="G73" s="69" t="s">
        <v>105</v>
      </c>
      <c r="H73" s="69" t="s">
        <v>110</v>
      </c>
      <c r="I73" s="69" t="s">
        <v>111</v>
      </c>
      <c r="J73" s="72">
        <v>400</v>
      </c>
    </row>
    <row r="74" spans="1:10" ht="15" customHeight="1">
      <c r="A74" s="70">
        <v>43854</v>
      </c>
      <c r="B74" s="69" t="s">
        <v>200</v>
      </c>
      <c r="C74" s="69" t="s">
        <v>116</v>
      </c>
      <c r="D74" s="71">
        <v>2</v>
      </c>
      <c r="E74" s="69" t="s">
        <v>109</v>
      </c>
      <c r="F74" s="69" t="s">
        <v>105</v>
      </c>
      <c r="G74" s="69" t="s">
        <v>105</v>
      </c>
      <c r="H74" s="69" t="s">
        <v>106</v>
      </c>
      <c r="I74" s="69" t="s">
        <v>129</v>
      </c>
      <c r="J74" s="72">
        <v>400</v>
      </c>
    </row>
    <row r="75" spans="1:10" ht="15" customHeight="1">
      <c r="A75" s="70">
        <v>43854</v>
      </c>
      <c r="B75" s="69" t="s">
        <v>201</v>
      </c>
      <c r="C75" s="69" t="s">
        <v>103</v>
      </c>
      <c r="D75" s="71">
        <v>5</v>
      </c>
      <c r="E75" s="69" t="s">
        <v>104</v>
      </c>
      <c r="F75" s="69" t="s">
        <v>120</v>
      </c>
      <c r="G75" s="69" t="s">
        <v>142</v>
      </c>
      <c r="H75" s="69" t="s">
        <v>128</v>
      </c>
      <c r="I75" s="69" t="s">
        <v>107</v>
      </c>
      <c r="J75" s="72">
        <v>52</v>
      </c>
    </row>
    <row r="76" spans="1:10" ht="15" customHeight="1">
      <c r="A76" s="70">
        <v>43855</v>
      </c>
      <c r="B76" s="69" t="s">
        <v>202</v>
      </c>
      <c r="C76" s="69" t="s">
        <v>116</v>
      </c>
      <c r="D76" s="71">
        <v>35</v>
      </c>
      <c r="E76" s="69" t="s">
        <v>104</v>
      </c>
      <c r="F76" s="69" t="s">
        <v>105</v>
      </c>
      <c r="G76" s="69" t="s">
        <v>105</v>
      </c>
      <c r="H76" s="69" t="s">
        <v>145</v>
      </c>
      <c r="I76" s="69" t="s">
        <v>107</v>
      </c>
      <c r="J76" s="72">
        <v>400</v>
      </c>
    </row>
    <row r="77" spans="1:10" ht="15" customHeight="1">
      <c r="A77" s="70">
        <v>43855</v>
      </c>
      <c r="B77" s="69" t="s">
        <v>203</v>
      </c>
      <c r="C77" s="69" t="s">
        <v>116</v>
      </c>
      <c r="D77" s="71">
        <v>25</v>
      </c>
      <c r="E77" s="69" t="s">
        <v>104</v>
      </c>
      <c r="F77" s="69" t="s">
        <v>105</v>
      </c>
      <c r="G77" s="69" t="s">
        <v>105</v>
      </c>
      <c r="H77" s="69" t="s">
        <v>126</v>
      </c>
      <c r="I77" s="69" t="s">
        <v>114</v>
      </c>
      <c r="J77" s="72">
        <v>400</v>
      </c>
    </row>
    <row r="78" spans="1:10" ht="15" customHeight="1">
      <c r="A78" s="70">
        <v>43855</v>
      </c>
      <c r="B78" s="69" t="s">
        <v>204</v>
      </c>
      <c r="C78" s="69" t="s">
        <v>116</v>
      </c>
      <c r="D78" s="71">
        <v>38</v>
      </c>
      <c r="E78" s="69" t="s">
        <v>113</v>
      </c>
      <c r="F78" s="69" t="s">
        <v>105</v>
      </c>
      <c r="G78" s="69" t="s">
        <v>105</v>
      </c>
      <c r="H78" s="69" t="s">
        <v>106</v>
      </c>
      <c r="I78" s="69" t="s">
        <v>107</v>
      </c>
      <c r="J78" s="72">
        <v>400</v>
      </c>
    </row>
    <row r="79" spans="1:10" ht="15" customHeight="1">
      <c r="A79" s="70">
        <v>43855</v>
      </c>
      <c r="B79" s="69" t="s">
        <v>205</v>
      </c>
      <c r="C79" s="69" t="s">
        <v>116</v>
      </c>
      <c r="D79" s="71">
        <v>3</v>
      </c>
      <c r="E79" s="69" t="s">
        <v>139</v>
      </c>
      <c r="F79" s="69" t="s">
        <v>105</v>
      </c>
      <c r="G79" s="69" t="s">
        <v>105</v>
      </c>
      <c r="H79" s="69" t="s">
        <v>106</v>
      </c>
      <c r="I79" s="69" t="s">
        <v>118</v>
      </c>
      <c r="J79" s="72">
        <v>400</v>
      </c>
    </row>
    <row r="80" spans="1:10" ht="15" customHeight="1">
      <c r="A80" s="70">
        <v>43856</v>
      </c>
      <c r="B80" s="69" t="s">
        <v>206</v>
      </c>
      <c r="C80" s="69" t="s">
        <v>116</v>
      </c>
      <c r="D80" s="71">
        <v>66</v>
      </c>
      <c r="E80" s="69" t="s">
        <v>104</v>
      </c>
      <c r="F80" s="69" t="s">
        <v>120</v>
      </c>
      <c r="G80" s="69" t="s">
        <v>121</v>
      </c>
      <c r="H80" s="69" t="s">
        <v>137</v>
      </c>
      <c r="I80" s="69" t="s">
        <v>159</v>
      </c>
      <c r="J80" s="72">
        <v>78</v>
      </c>
    </row>
    <row r="81" spans="1:10" ht="15" customHeight="1">
      <c r="A81" s="70">
        <v>43856</v>
      </c>
      <c r="B81" s="69" t="s">
        <v>207</v>
      </c>
      <c r="C81" s="69" t="s">
        <v>116</v>
      </c>
      <c r="D81" s="71">
        <v>13</v>
      </c>
      <c r="E81" s="69" t="s">
        <v>139</v>
      </c>
      <c r="F81" s="69" t="s">
        <v>120</v>
      </c>
      <c r="G81" s="69" t="s">
        <v>125</v>
      </c>
      <c r="H81" s="69" t="s">
        <v>145</v>
      </c>
      <c r="I81" s="69" t="s">
        <v>114</v>
      </c>
      <c r="J81" s="72">
        <v>65</v>
      </c>
    </row>
    <row r="82" spans="1:10" ht="15" customHeight="1">
      <c r="A82" s="70">
        <v>43856</v>
      </c>
      <c r="B82" s="69" t="s">
        <v>208</v>
      </c>
      <c r="C82" s="69" t="s">
        <v>116</v>
      </c>
      <c r="D82" s="71">
        <v>37</v>
      </c>
      <c r="E82" s="69" t="s">
        <v>109</v>
      </c>
      <c r="F82" s="69" t="s">
        <v>120</v>
      </c>
      <c r="G82" s="69" t="s">
        <v>121</v>
      </c>
      <c r="H82" s="69" t="s">
        <v>137</v>
      </c>
      <c r="I82" s="69" t="s">
        <v>111</v>
      </c>
      <c r="J82" s="72">
        <v>78</v>
      </c>
    </row>
    <row r="83" spans="1:10" ht="15" customHeight="1">
      <c r="A83" s="70">
        <v>43856</v>
      </c>
      <c r="B83" s="69" t="s">
        <v>209</v>
      </c>
      <c r="C83" s="69" t="s">
        <v>116</v>
      </c>
      <c r="D83" s="71">
        <v>52</v>
      </c>
      <c r="E83" s="69" t="s">
        <v>139</v>
      </c>
      <c r="F83" s="69" t="s">
        <v>105</v>
      </c>
      <c r="G83" s="69" t="s">
        <v>105</v>
      </c>
      <c r="H83" s="69" t="s">
        <v>137</v>
      </c>
      <c r="I83" s="69" t="s">
        <v>111</v>
      </c>
      <c r="J83" s="72">
        <v>400</v>
      </c>
    </row>
    <row r="84" spans="1:10" ht="15" customHeight="1">
      <c r="A84" s="70">
        <v>43856</v>
      </c>
      <c r="B84" s="69" t="s">
        <v>210</v>
      </c>
      <c r="C84" s="69" t="s">
        <v>116</v>
      </c>
      <c r="D84" s="71">
        <v>51</v>
      </c>
      <c r="E84" s="69" t="s">
        <v>104</v>
      </c>
      <c r="F84" s="69" t="s">
        <v>120</v>
      </c>
      <c r="G84" s="69" t="s">
        <v>142</v>
      </c>
      <c r="H84" s="69" t="s">
        <v>131</v>
      </c>
      <c r="I84" s="69" t="s">
        <v>107</v>
      </c>
      <c r="J84" s="72">
        <v>52</v>
      </c>
    </row>
    <row r="85" spans="1:10" ht="15" customHeight="1">
      <c r="A85" s="70">
        <v>43857</v>
      </c>
      <c r="B85" s="69" t="s">
        <v>211</v>
      </c>
      <c r="C85" s="69" t="s">
        <v>103</v>
      </c>
      <c r="D85" s="71">
        <v>29</v>
      </c>
      <c r="E85" s="69" t="s">
        <v>104</v>
      </c>
      <c r="F85" s="69" t="s">
        <v>120</v>
      </c>
      <c r="G85" s="69" t="s">
        <v>125</v>
      </c>
      <c r="H85" s="69" t="s">
        <v>128</v>
      </c>
      <c r="I85" s="69" t="s">
        <v>129</v>
      </c>
      <c r="J85" s="72">
        <v>65</v>
      </c>
    </row>
    <row r="86" spans="1:10" ht="15" customHeight="1">
      <c r="A86" s="70">
        <v>43857</v>
      </c>
      <c r="B86" s="69" t="s">
        <v>212</v>
      </c>
      <c r="C86" s="69" t="s">
        <v>116</v>
      </c>
      <c r="D86" s="71">
        <v>41</v>
      </c>
      <c r="E86" s="69" t="s">
        <v>113</v>
      </c>
      <c r="F86" s="69" t="s">
        <v>120</v>
      </c>
      <c r="G86" s="69" t="s">
        <v>123</v>
      </c>
      <c r="H86" s="69" t="s">
        <v>106</v>
      </c>
      <c r="I86" s="69" t="s">
        <v>111</v>
      </c>
      <c r="J86" s="72">
        <v>90</v>
      </c>
    </row>
    <row r="87" spans="1:10" ht="15" customHeight="1">
      <c r="A87" s="70">
        <v>43858</v>
      </c>
      <c r="B87" s="69" t="s">
        <v>213</v>
      </c>
      <c r="C87" s="69" t="s">
        <v>103</v>
      </c>
      <c r="D87" s="71">
        <v>40</v>
      </c>
      <c r="E87" s="69" t="s">
        <v>109</v>
      </c>
      <c r="F87" s="69" t="s">
        <v>105</v>
      </c>
      <c r="G87" s="69" t="s">
        <v>105</v>
      </c>
      <c r="H87" s="69" t="s">
        <v>145</v>
      </c>
      <c r="I87" s="69" t="s">
        <v>107</v>
      </c>
      <c r="J87" s="72">
        <v>400</v>
      </c>
    </row>
    <row r="88" spans="1:10" ht="15" customHeight="1">
      <c r="A88" s="70">
        <v>43858</v>
      </c>
      <c r="B88" s="69" t="s">
        <v>214</v>
      </c>
      <c r="C88" s="69" t="s">
        <v>116</v>
      </c>
      <c r="D88" s="71">
        <v>59</v>
      </c>
      <c r="E88" s="69" t="s">
        <v>104</v>
      </c>
      <c r="F88" s="69" t="s">
        <v>120</v>
      </c>
      <c r="G88" s="69" t="s">
        <v>142</v>
      </c>
      <c r="H88" s="69" t="s">
        <v>128</v>
      </c>
      <c r="I88" s="69" t="s">
        <v>111</v>
      </c>
      <c r="J88" s="72">
        <v>52</v>
      </c>
    </row>
    <row r="89" spans="1:10" ht="15" customHeight="1">
      <c r="A89" s="70">
        <v>43858</v>
      </c>
      <c r="B89" s="69" t="s">
        <v>215</v>
      </c>
      <c r="C89" s="69" t="s">
        <v>116</v>
      </c>
      <c r="D89" s="71">
        <v>41</v>
      </c>
      <c r="E89" s="69" t="s">
        <v>109</v>
      </c>
      <c r="F89" s="69" t="s">
        <v>120</v>
      </c>
      <c r="G89" s="69" t="s">
        <v>142</v>
      </c>
      <c r="H89" s="69" t="s">
        <v>106</v>
      </c>
      <c r="I89" s="69" t="s">
        <v>111</v>
      </c>
      <c r="J89" s="72">
        <v>52</v>
      </c>
    </row>
    <row r="90" spans="1:10" ht="15" customHeight="1">
      <c r="A90" s="70">
        <v>43858</v>
      </c>
      <c r="B90" s="69" t="s">
        <v>216</v>
      </c>
      <c r="C90" s="69" t="s">
        <v>103</v>
      </c>
      <c r="D90" s="71">
        <v>45</v>
      </c>
      <c r="E90" s="69" t="s">
        <v>113</v>
      </c>
      <c r="F90" s="69" t="s">
        <v>120</v>
      </c>
      <c r="G90" s="69" t="s">
        <v>121</v>
      </c>
      <c r="H90" s="69" t="s">
        <v>128</v>
      </c>
      <c r="I90" s="69" t="s">
        <v>118</v>
      </c>
      <c r="J90" s="72">
        <v>78</v>
      </c>
    </row>
    <row r="91" spans="1:10" ht="15" customHeight="1">
      <c r="A91" s="70">
        <v>43858</v>
      </c>
      <c r="B91" s="69" t="s">
        <v>217</v>
      </c>
      <c r="C91" s="69" t="s">
        <v>103</v>
      </c>
      <c r="D91" s="71">
        <v>33</v>
      </c>
      <c r="E91" s="69" t="s">
        <v>109</v>
      </c>
      <c r="F91" s="69" t="s">
        <v>105</v>
      </c>
      <c r="G91" s="69" t="s">
        <v>105</v>
      </c>
      <c r="H91" s="69" t="s">
        <v>110</v>
      </c>
      <c r="I91" s="69" t="s">
        <v>107</v>
      </c>
      <c r="J91" s="72">
        <v>400</v>
      </c>
    </row>
    <row r="92" spans="1:10" ht="15" customHeight="1">
      <c r="A92" s="70">
        <v>43858</v>
      </c>
      <c r="B92" s="69" t="s">
        <v>218</v>
      </c>
      <c r="C92" s="69" t="s">
        <v>116</v>
      </c>
      <c r="D92" s="71">
        <v>44</v>
      </c>
      <c r="E92" s="69" t="s">
        <v>139</v>
      </c>
      <c r="F92" s="69" t="s">
        <v>120</v>
      </c>
      <c r="G92" s="69" t="s">
        <v>121</v>
      </c>
      <c r="H92" s="69" t="s">
        <v>131</v>
      </c>
      <c r="I92" s="69" t="s">
        <v>118</v>
      </c>
      <c r="J92" s="72">
        <v>78</v>
      </c>
    </row>
    <row r="93" spans="1:10" ht="15" customHeight="1">
      <c r="A93" s="70">
        <v>43859</v>
      </c>
      <c r="B93" s="69" t="s">
        <v>219</v>
      </c>
      <c r="C93" s="69" t="s">
        <v>103</v>
      </c>
      <c r="D93" s="71">
        <v>56</v>
      </c>
      <c r="E93" s="69" t="s">
        <v>104</v>
      </c>
      <c r="F93" s="69" t="s">
        <v>120</v>
      </c>
      <c r="G93" s="69" t="s">
        <v>121</v>
      </c>
      <c r="H93" s="69" t="s">
        <v>117</v>
      </c>
      <c r="I93" s="69" t="s">
        <v>118</v>
      </c>
      <c r="J93" s="72">
        <v>78</v>
      </c>
    </row>
    <row r="94" spans="1:10" ht="15" customHeight="1">
      <c r="A94" s="70">
        <v>43859</v>
      </c>
      <c r="B94" s="69" t="s">
        <v>220</v>
      </c>
      <c r="C94" s="69" t="s">
        <v>103</v>
      </c>
      <c r="D94" s="71">
        <v>66</v>
      </c>
      <c r="E94" s="69" t="s">
        <v>104</v>
      </c>
      <c r="F94" s="69" t="s">
        <v>105</v>
      </c>
      <c r="G94" s="69" t="s">
        <v>105</v>
      </c>
      <c r="H94" s="69" t="s">
        <v>128</v>
      </c>
      <c r="I94" s="69" t="s">
        <v>118</v>
      </c>
      <c r="J94" s="72">
        <v>400</v>
      </c>
    </row>
    <row r="95" spans="1:10" ht="15" customHeight="1">
      <c r="A95" s="70">
        <v>43860</v>
      </c>
      <c r="B95" s="69" t="s">
        <v>221</v>
      </c>
      <c r="C95" s="69" t="s">
        <v>116</v>
      </c>
      <c r="D95" s="71">
        <v>7</v>
      </c>
      <c r="E95" s="69" t="s">
        <v>139</v>
      </c>
      <c r="F95" s="69" t="s">
        <v>120</v>
      </c>
      <c r="G95" s="69" t="s">
        <v>121</v>
      </c>
      <c r="H95" s="69" t="s">
        <v>128</v>
      </c>
      <c r="I95" s="69" t="s">
        <v>118</v>
      </c>
      <c r="J95" s="72">
        <v>78</v>
      </c>
    </row>
    <row r="96" spans="1:10" ht="15" customHeight="1">
      <c r="A96" s="70">
        <v>43860</v>
      </c>
      <c r="B96" s="69" t="s">
        <v>222</v>
      </c>
      <c r="C96" s="69" t="s">
        <v>103</v>
      </c>
      <c r="D96" s="71">
        <v>63</v>
      </c>
      <c r="E96" s="69" t="s">
        <v>113</v>
      </c>
      <c r="F96" s="69" t="s">
        <v>105</v>
      </c>
      <c r="G96" s="69" t="s">
        <v>105</v>
      </c>
      <c r="H96" s="69" t="s">
        <v>117</v>
      </c>
      <c r="I96" s="69" t="s">
        <v>118</v>
      </c>
      <c r="J96" s="72">
        <v>400</v>
      </c>
    </row>
    <row r="97" spans="1:10" ht="15" customHeight="1">
      <c r="A97" s="70">
        <v>43861</v>
      </c>
      <c r="B97" s="69" t="s">
        <v>223</v>
      </c>
      <c r="C97" s="69" t="s">
        <v>116</v>
      </c>
      <c r="D97" s="71">
        <v>38</v>
      </c>
      <c r="E97" s="69" t="s">
        <v>139</v>
      </c>
      <c r="F97" s="69" t="s">
        <v>105</v>
      </c>
      <c r="G97" s="69" t="s">
        <v>105</v>
      </c>
      <c r="H97" s="69" t="s">
        <v>106</v>
      </c>
      <c r="I97" s="69" t="s">
        <v>111</v>
      </c>
      <c r="J97" s="72">
        <v>400</v>
      </c>
    </row>
    <row r="98" spans="1:10" ht="15" customHeight="1">
      <c r="A98" s="70">
        <v>43861</v>
      </c>
      <c r="B98" s="69" t="s">
        <v>224</v>
      </c>
      <c r="C98" s="69" t="s">
        <v>116</v>
      </c>
      <c r="D98" s="71">
        <v>69</v>
      </c>
      <c r="E98" s="69" t="s">
        <v>109</v>
      </c>
      <c r="F98" s="69" t="s">
        <v>105</v>
      </c>
      <c r="G98" s="69" t="s">
        <v>105</v>
      </c>
      <c r="H98" s="69" t="s">
        <v>110</v>
      </c>
      <c r="I98" s="69" t="s">
        <v>159</v>
      </c>
      <c r="J98" s="72">
        <v>400</v>
      </c>
    </row>
    <row r="99" spans="1:10" ht="15" customHeight="1">
      <c r="A99" s="70">
        <v>43861</v>
      </c>
      <c r="B99" s="69" t="s">
        <v>225</v>
      </c>
      <c r="C99" s="69" t="s">
        <v>116</v>
      </c>
      <c r="D99" s="71">
        <v>67</v>
      </c>
      <c r="E99" s="69" t="s">
        <v>104</v>
      </c>
      <c r="F99" s="69" t="s">
        <v>120</v>
      </c>
      <c r="G99" s="69" t="s">
        <v>123</v>
      </c>
      <c r="H99" s="69" t="s">
        <v>137</v>
      </c>
      <c r="I99" s="69" t="s">
        <v>107</v>
      </c>
      <c r="J99" s="72">
        <v>90</v>
      </c>
    </row>
    <row r="100" spans="1:10" ht="15" customHeight="1">
      <c r="A100" s="70">
        <v>43861</v>
      </c>
      <c r="B100" s="69" t="s">
        <v>226</v>
      </c>
      <c r="C100" s="69" t="s">
        <v>116</v>
      </c>
      <c r="D100" s="71">
        <v>48</v>
      </c>
      <c r="E100" s="69" t="s">
        <v>104</v>
      </c>
      <c r="F100" s="69" t="s">
        <v>120</v>
      </c>
      <c r="G100" s="69" t="s">
        <v>125</v>
      </c>
      <c r="H100" s="69" t="s">
        <v>106</v>
      </c>
      <c r="I100" s="69" t="s">
        <v>129</v>
      </c>
      <c r="J100" s="72">
        <v>65</v>
      </c>
    </row>
    <row r="101" spans="1:10" ht="15" customHeight="1">
      <c r="A101" s="70">
        <v>43861</v>
      </c>
      <c r="B101" s="69" t="s">
        <v>227</v>
      </c>
      <c r="C101" s="69" t="s">
        <v>103</v>
      </c>
      <c r="D101" s="71">
        <v>16</v>
      </c>
      <c r="E101" s="69" t="s">
        <v>139</v>
      </c>
      <c r="F101" s="69" t="s">
        <v>105</v>
      </c>
      <c r="G101" s="69" t="s">
        <v>105</v>
      </c>
      <c r="H101" s="69" t="s">
        <v>106</v>
      </c>
      <c r="I101" s="69" t="s">
        <v>159</v>
      </c>
      <c r="J101" s="72">
        <v>400</v>
      </c>
    </row>
    <row r="102" spans="1:10" ht="15" customHeight="1">
      <c r="A102" s="70">
        <v>43861</v>
      </c>
      <c r="B102" s="69" t="s">
        <v>228</v>
      </c>
      <c r="C102" s="69" t="s">
        <v>103</v>
      </c>
      <c r="D102" s="71">
        <v>0</v>
      </c>
      <c r="E102" s="69" t="s">
        <v>113</v>
      </c>
      <c r="F102" s="69" t="s">
        <v>105</v>
      </c>
      <c r="G102" s="69" t="s">
        <v>105</v>
      </c>
      <c r="H102" s="69" t="s">
        <v>128</v>
      </c>
      <c r="I102" s="69" t="s">
        <v>118</v>
      </c>
      <c r="J102" s="72">
        <v>400</v>
      </c>
    </row>
    <row r="103" spans="1:10" ht="15" customHeight="1">
      <c r="A103" s="70">
        <v>43862</v>
      </c>
      <c r="B103" s="69" t="s">
        <v>229</v>
      </c>
      <c r="C103" s="69" t="s">
        <v>103</v>
      </c>
      <c r="D103" s="71">
        <v>53</v>
      </c>
      <c r="E103" s="69" t="s">
        <v>139</v>
      </c>
      <c r="F103" s="69" t="s">
        <v>120</v>
      </c>
      <c r="G103" s="69" t="s">
        <v>121</v>
      </c>
      <c r="H103" s="69" t="s">
        <v>126</v>
      </c>
      <c r="I103" s="69" t="s">
        <v>111</v>
      </c>
      <c r="J103" s="72">
        <v>78</v>
      </c>
    </row>
    <row r="104" spans="1:10" ht="15" customHeight="1">
      <c r="A104" s="70">
        <v>43862</v>
      </c>
      <c r="B104" s="69" t="s">
        <v>230</v>
      </c>
      <c r="C104" s="69" t="s">
        <v>103</v>
      </c>
      <c r="D104" s="71">
        <v>63</v>
      </c>
      <c r="E104" s="69" t="s">
        <v>139</v>
      </c>
      <c r="F104" s="69" t="s">
        <v>105</v>
      </c>
      <c r="G104" s="69" t="s">
        <v>105</v>
      </c>
      <c r="H104" s="69" t="s">
        <v>110</v>
      </c>
      <c r="I104" s="69" t="s">
        <v>114</v>
      </c>
      <c r="J104" s="72">
        <v>400</v>
      </c>
    </row>
    <row r="105" spans="1:10" ht="15" customHeight="1">
      <c r="A105" s="70">
        <v>43862</v>
      </c>
      <c r="B105" s="69" t="s">
        <v>231</v>
      </c>
      <c r="C105" s="69" t="s">
        <v>116</v>
      </c>
      <c r="D105" s="71">
        <v>47</v>
      </c>
      <c r="E105" s="69" t="s">
        <v>139</v>
      </c>
      <c r="F105" s="69" t="s">
        <v>105</v>
      </c>
      <c r="G105" s="69" t="s">
        <v>105</v>
      </c>
      <c r="H105" s="69" t="s">
        <v>106</v>
      </c>
      <c r="I105" s="69" t="s">
        <v>107</v>
      </c>
      <c r="J105" s="72">
        <v>400</v>
      </c>
    </row>
    <row r="106" spans="1:10" ht="15" customHeight="1">
      <c r="A106" s="70">
        <v>43862</v>
      </c>
      <c r="B106" s="69" t="s">
        <v>232</v>
      </c>
      <c r="C106" s="69" t="s">
        <v>103</v>
      </c>
      <c r="D106" s="71">
        <v>8</v>
      </c>
      <c r="E106" s="69" t="s">
        <v>113</v>
      </c>
      <c r="F106" s="69" t="s">
        <v>120</v>
      </c>
      <c r="G106" s="69" t="s">
        <v>123</v>
      </c>
      <c r="H106" s="69" t="s">
        <v>110</v>
      </c>
      <c r="I106" s="69" t="s">
        <v>107</v>
      </c>
      <c r="J106" s="72">
        <v>90</v>
      </c>
    </row>
    <row r="107" spans="1:10" ht="15" customHeight="1">
      <c r="A107" s="70">
        <v>43862</v>
      </c>
      <c r="B107" s="69" t="s">
        <v>233</v>
      </c>
      <c r="C107" s="69" t="s">
        <v>116</v>
      </c>
      <c r="D107" s="71">
        <v>2</v>
      </c>
      <c r="E107" s="69" t="s">
        <v>139</v>
      </c>
      <c r="F107" s="69" t="s">
        <v>120</v>
      </c>
      <c r="G107" s="69" t="s">
        <v>125</v>
      </c>
      <c r="H107" s="69" t="s">
        <v>117</v>
      </c>
      <c r="I107" s="69" t="s">
        <v>114</v>
      </c>
      <c r="J107" s="72">
        <v>65</v>
      </c>
    </row>
    <row r="108" spans="1:10" ht="15" customHeight="1">
      <c r="A108" s="70">
        <v>43863</v>
      </c>
      <c r="B108" s="69" t="s">
        <v>234</v>
      </c>
      <c r="C108" s="69" t="s">
        <v>116</v>
      </c>
      <c r="D108" s="71">
        <v>13</v>
      </c>
      <c r="E108" s="69" t="s">
        <v>113</v>
      </c>
      <c r="F108" s="69" t="s">
        <v>120</v>
      </c>
      <c r="G108" s="69" t="s">
        <v>125</v>
      </c>
      <c r="H108" s="69" t="s">
        <v>131</v>
      </c>
      <c r="I108" s="69" t="s">
        <v>118</v>
      </c>
      <c r="J108" s="72">
        <v>65</v>
      </c>
    </row>
    <row r="109" spans="1:10" ht="15" customHeight="1">
      <c r="A109" s="70">
        <v>43863</v>
      </c>
      <c r="B109" s="69" t="s">
        <v>235</v>
      </c>
      <c r="C109" s="69" t="s">
        <v>116</v>
      </c>
      <c r="D109" s="71">
        <v>36</v>
      </c>
      <c r="E109" s="69" t="s">
        <v>104</v>
      </c>
      <c r="F109" s="69" t="s">
        <v>105</v>
      </c>
      <c r="G109" s="69" t="s">
        <v>105</v>
      </c>
      <c r="H109" s="69" t="s">
        <v>106</v>
      </c>
      <c r="I109" s="69" t="s">
        <v>118</v>
      </c>
      <c r="J109" s="72">
        <v>400</v>
      </c>
    </row>
    <row r="110" spans="1:10" ht="15" customHeight="1">
      <c r="A110" s="70">
        <v>43863</v>
      </c>
      <c r="B110" s="69" t="s">
        <v>236</v>
      </c>
      <c r="C110" s="69" t="s">
        <v>103</v>
      </c>
      <c r="D110" s="71">
        <v>71</v>
      </c>
      <c r="E110" s="69" t="s">
        <v>104</v>
      </c>
      <c r="F110" s="69" t="s">
        <v>105</v>
      </c>
      <c r="G110" s="69" t="s">
        <v>105</v>
      </c>
      <c r="H110" s="69" t="s">
        <v>106</v>
      </c>
      <c r="I110" s="69" t="s">
        <v>118</v>
      </c>
      <c r="J110" s="72">
        <v>400</v>
      </c>
    </row>
    <row r="111" spans="1:10" ht="15" customHeight="1">
      <c r="A111" s="70">
        <v>43864</v>
      </c>
      <c r="B111" s="69" t="s">
        <v>237</v>
      </c>
      <c r="C111" s="69" t="s">
        <v>116</v>
      </c>
      <c r="D111" s="71">
        <v>34</v>
      </c>
      <c r="E111" s="69" t="s">
        <v>113</v>
      </c>
      <c r="F111" s="69" t="s">
        <v>105</v>
      </c>
      <c r="G111" s="69" t="s">
        <v>105</v>
      </c>
      <c r="H111" s="69" t="s">
        <v>117</v>
      </c>
      <c r="I111" s="69" t="s">
        <v>118</v>
      </c>
      <c r="J111" s="72">
        <v>400</v>
      </c>
    </row>
    <row r="112" spans="1:10" ht="15" customHeight="1">
      <c r="A112" s="70">
        <v>43864</v>
      </c>
      <c r="B112" s="69" t="s">
        <v>238</v>
      </c>
      <c r="C112" s="69" t="s">
        <v>116</v>
      </c>
      <c r="D112" s="71">
        <v>27</v>
      </c>
      <c r="E112" s="69" t="s">
        <v>113</v>
      </c>
      <c r="F112" s="69" t="s">
        <v>120</v>
      </c>
      <c r="G112" s="69" t="s">
        <v>121</v>
      </c>
      <c r="H112" s="69" t="s">
        <v>128</v>
      </c>
      <c r="I112" s="69" t="s">
        <v>159</v>
      </c>
      <c r="J112" s="72">
        <v>78</v>
      </c>
    </row>
    <row r="113" spans="1:10" ht="15" customHeight="1">
      <c r="A113" s="70">
        <v>43864</v>
      </c>
      <c r="B113" s="69" t="s">
        <v>239</v>
      </c>
      <c r="C113" s="69" t="s">
        <v>103</v>
      </c>
      <c r="D113" s="71">
        <v>69</v>
      </c>
      <c r="E113" s="69" t="s">
        <v>104</v>
      </c>
      <c r="F113" s="69" t="s">
        <v>105</v>
      </c>
      <c r="G113" s="69" t="s">
        <v>105</v>
      </c>
      <c r="H113" s="69" t="s">
        <v>106</v>
      </c>
      <c r="I113" s="69" t="s">
        <v>111</v>
      </c>
      <c r="J113" s="72">
        <v>400</v>
      </c>
    </row>
    <row r="114" spans="1:10" ht="15" customHeight="1">
      <c r="A114" s="70">
        <v>43865</v>
      </c>
      <c r="B114" s="69" t="s">
        <v>240</v>
      </c>
      <c r="C114" s="69" t="s">
        <v>103</v>
      </c>
      <c r="D114" s="71">
        <v>23</v>
      </c>
      <c r="E114" s="69" t="s">
        <v>139</v>
      </c>
      <c r="F114" s="69" t="s">
        <v>120</v>
      </c>
      <c r="G114" s="69" t="s">
        <v>121</v>
      </c>
      <c r="H114" s="69" t="s">
        <v>106</v>
      </c>
      <c r="I114" s="69" t="s">
        <v>118</v>
      </c>
      <c r="J114" s="72">
        <v>78</v>
      </c>
    </row>
    <row r="115" spans="1:10" ht="15" customHeight="1">
      <c r="A115" s="70">
        <v>43865</v>
      </c>
      <c r="B115" s="69" t="s">
        <v>241</v>
      </c>
      <c r="C115" s="69" t="s">
        <v>116</v>
      </c>
      <c r="D115" s="71">
        <v>67</v>
      </c>
      <c r="E115" s="69" t="s">
        <v>113</v>
      </c>
      <c r="F115" s="69" t="s">
        <v>120</v>
      </c>
      <c r="G115" s="69" t="s">
        <v>121</v>
      </c>
      <c r="H115" s="69" t="s">
        <v>128</v>
      </c>
      <c r="I115" s="69" t="s">
        <v>114</v>
      </c>
      <c r="J115" s="72">
        <v>78</v>
      </c>
    </row>
    <row r="116" spans="1:10" ht="15" customHeight="1">
      <c r="A116" s="70">
        <v>43865</v>
      </c>
      <c r="B116" s="69" t="s">
        <v>242</v>
      </c>
      <c r="C116" s="69" t="s">
        <v>116</v>
      </c>
      <c r="D116" s="71">
        <v>8</v>
      </c>
      <c r="E116" s="69" t="s">
        <v>139</v>
      </c>
      <c r="F116" s="69" t="s">
        <v>105</v>
      </c>
      <c r="G116" s="69" t="s">
        <v>105</v>
      </c>
      <c r="H116" s="69" t="s">
        <v>128</v>
      </c>
      <c r="I116" s="69" t="s">
        <v>111</v>
      </c>
      <c r="J116" s="72">
        <v>400</v>
      </c>
    </row>
    <row r="117" spans="1:10" ht="15" customHeight="1">
      <c r="A117" s="70">
        <v>43865</v>
      </c>
      <c r="B117" s="69" t="s">
        <v>243</v>
      </c>
      <c r="C117" s="69" t="s">
        <v>103</v>
      </c>
      <c r="D117" s="71">
        <v>64</v>
      </c>
      <c r="E117" s="69" t="s">
        <v>139</v>
      </c>
      <c r="F117" s="69" t="s">
        <v>105</v>
      </c>
      <c r="G117" s="69" t="s">
        <v>105</v>
      </c>
      <c r="H117" s="69" t="s">
        <v>137</v>
      </c>
      <c r="I117" s="69" t="s">
        <v>114</v>
      </c>
      <c r="J117" s="72">
        <v>400</v>
      </c>
    </row>
    <row r="118" spans="1:10" ht="15" customHeight="1">
      <c r="A118" s="70">
        <v>43866</v>
      </c>
      <c r="B118" s="69" t="s">
        <v>244</v>
      </c>
      <c r="C118" s="69" t="s">
        <v>103</v>
      </c>
      <c r="D118" s="71">
        <v>29</v>
      </c>
      <c r="E118" s="69" t="s">
        <v>139</v>
      </c>
      <c r="F118" s="69" t="s">
        <v>105</v>
      </c>
      <c r="G118" s="69" t="s">
        <v>105</v>
      </c>
      <c r="H118" s="69" t="s">
        <v>106</v>
      </c>
      <c r="I118" s="69" t="s">
        <v>107</v>
      </c>
      <c r="J118" s="72">
        <v>400</v>
      </c>
    </row>
    <row r="119" spans="1:10" ht="15" customHeight="1">
      <c r="A119" s="70">
        <v>43866</v>
      </c>
      <c r="B119" s="69" t="s">
        <v>245</v>
      </c>
      <c r="C119" s="69" t="s">
        <v>116</v>
      </c>
      <c r="D119" s="71">
        <v>30</v>
      </c>
      <c r="E119" s="69" t="s">
        <v>139</v>
      </c>
      <c r="F119" s="69" t="s">
        <v>105</v>
      </c>
      <c r="G119" s="69" t="s">
        <v>105</v>
      </c>
      <c r="H119" s="69" t="s">
        <v>128</v>
      </c>
      <c r="I119" s="69" t="s">
        <v>118</v>
      </c>
      <c r="J119" s="72">
        <v>400</v>
      </c>
    </row>
    <row r="120" spans="1:10" ht="15" customHeight="1">
      <c r="A120" s="70">
        <v>43867</v>
      </c>
      <c r="B120" s="69" t="s">
        <v>246</v>
      </c>
      <c r="C120" s="69" t="s">
        <v>116</v>
      </c>
      <c r="D120" s="71">
        <v>13</v>
      </c>
      <c r="E120" s="69" t="s">
        <v>139</v>
      </c>
      <c r="F120" s="69" t="s">
        <v>120</v>
      </c>
      <c r="G120" s="69" t="s">
        <v>121</v>
      </c>
      <c r="H120" s="69" t="s">
        <v>145</v>
      </c>
      <c r="I120" s="69" t="s">
        <v>118</v>
      </c>
      <c r="J120" s="72">
        <v>78</v>
      </c>
    </row>
    <row r="121" spans="1:10" ht="15" customHeight="1">
      <c r="A121" s="70">
        <v>43867</v>
      </c>
      <c r="B121" s="69" t="s">
        <v>247</v>
      </c>
      <c r="C121" s="69" t="s">
        <v>116</v>
      </c>
      <c r="D121" s="71">
        <v>22</v>
      </c>
      <c r="E121" s="69" t="s">
        <v>139</v>
      </c>
      <c r="F121" s="69" t="s">
        <v>105</v>
      </c>
      <c r="G121" s="69" t="s">
        <v>105</v>
      </c>
      <c r="H121" s="69" t="s">
        <v>145</v>
      </c>
      <c r="I121" s="69" t="s">
        <v>111</v>
      </c>
      <c r="J121" s="72">
        <v>400</v>
      </c>
    </row>
    <row r="122" spans="1:10" ht="15" customHeight="1">
      <c r="A122" s="70">
        <v>43867</v>
      </c>
      <c r="B122" s="69" t="s">
        <v>248</v>
      </c>
      <c r="C122" s="69" t="s">
        <v>103</v>
      </c>
      <c r="D122" s="71">
        <v>45</v>
      </c>
      <c r="E122" s="69" t="s">
        <v>113</v>
      </c>
      <c r="F122" s="69" t="s">
        <v>120</v>
      </c>
      <c r="G122" s="69" t="s">
        <v>123</v>
      </c>
      <c r="H122" s="69" t="s">
        <v>137</v>
      </c>
      <c r="I122" s="69" t="s">
        <v>118</v>
      </c>
      <c r="J122" s="72">
        <v>90</v>
      </c>
    </row>
    <row r="123" spans="1:10" ht="15" customHeight="1">
      <c r="A123" s="70">
        <v>43867</v>
      </c>
      <c r="B123" s="69" t="s">
        <v>249</v>
      </c>
      <c r="C123" s="69" t="s">
        <v>103</v>
      </c>
      <c r="D123" s="71">
        <v>61</v>
      </c>
      <c r="E123" s="69" t="s">
        <v>104</v>
      </c>
      <c r="F123" s="69" t="s">
        <v>105</v>
      </c>
      <c r="G123" s="69" t="s">
        <v>105</v>
      </c>
      <c r="H123" s="69" t="s">
        <v>145</v>
      </c>
      <c r="I123" s="69" t="s">
        <v>111</v>
      </c>
      <c r="J123" s="72">
        <v>400</v>
      </c>
    </row>
    <row r="124" spans="1:10" ht="15" customHeight="1">
      <c r="A124" s="70">
        <v>43868</v>
      </c>
      <c r="B124" s="69" t="s">
        <v>250</v>
      </c>
      <c r="C124" s="69" t="s">
        <v>116</v>
      </c>
      <c r="D124" s="71">
        <v>10</v>
      </c>
      <c r="E124" s="69" t="s">
        <v>109</v>
      </c>
      <c r="F124" s="69" t="s">
        <v>120</v>
      </c>
      <c r="G124" s="69" t="s">
        <v>121</v>
      </c>
      <c r="H124" s="69" t="s">
        <v>106</v>
      </c>
      <c r="I124" s="69" t="s">
        <v>118</v>
      </c>
      <c r="J124" s="72">
        <v>78</v>
      </c>
    </row>
    <row r="125" spans="1:10" ht="15" customHeight="1">
      <c r="A125" s="70">
        <v>43868</v>
      </c>
      <c r="B125" s="69" t="s">
        <v>251</v>
      </c>
      <c r="C125" s="69" t="s">
        <v>103</v>
      </c>
      <c r="D125" s="71">
        <v>2</v>
      </c>
      <c r="E125" s="69" t="s">
        <v>113</v>
      </c>
      <c r="F125" s="69" t="s">
        <v>120</v>
      </c>
      <c r="G125" s="69" t="s">
        <v>121</v>
      </c>
      <c r="H125" s="69" t="s">
        <v>106</v>
      </c>
      <c r="I125" s="69" t="s">
        <v>107</v>
      </c>
      <c r="J125" s="72">
        <v>78</v>
      </c>
    </row>
    <row r="126" spans="1:10" ht="15" customHeight="1">
      <c r="A126" s="70">
        <v>43869</v>
      </c>
      <c r="B126" s="69" t="s">
        <v>252</v>
      </c>
      <c r="C126" s="69" t="s">
        <v>103</v>
      </c>
      <c r="D126" s="71">
        <v>11</v>
      </c>
      <c r="E126" s="69" t="s">
        <v>109</v>
      </c>
      <c r="F126" s="69" t="s">
        <v>105</v>
      </c>
      <c r="G126" s="69" t="s">
        <v>105</v>
      </c>
      <c r="H126" s="69" t="s">
        <v>128</v>
      </c>
      <c r="I126" s="69" t="s">
        <v>118</v>
      </c>
      <c r="J126" s="72">
        <v>400</v>
      </c>
    </row>
    <row r="127" spans="1:10" ht="15" customHeight="1">
      <c r="A127" s="70">
        <v>43869</v>
      </c>
      <c r="B127" s="69" t="s">
        <v>253</v>
      </c>
      <c r="C127" s="69" t="s">
        <v>254</v>
      </c>
      <c r="D127" s="71">
        <v>57</v>
      </c>
      <c r="E127" s="69" t="s">
        <v>109</v>
      </c>
      <c r="F127" s="69" t="s">
        <v>105</v>
      </c>
      <c r="G127" s="69" t="s">
        <v>105</v>
      </c>
      <c r="H127" s="69" t="s">
        <v>137</v>
      </c>
      <c r="I127" s="69" t="s">
        <v>118</v>
      </c>
      <c r="J127" s="72">
        <v>400</v>
      </c>
    </row>
    <row r="128" spans="1:10" ht="15" customHeight="1">
      <c r="A128" s="70">
        <v>43869</v>
      </c>
      <c r="B128" s="69" t="s">
        <v>255</v>
      </c>
      <c r="C128" s="69" t="s">
        <v>116</v>
      </c>
      <c r="D128" s="71">
        <v>60</v>
      </c>
      <c r="E128" s="69" t="s">
        <v>113</v>
      </c>
      <c r="F128" s="69" t="s">
        <v>120</v>
      </c>
      <c r="G128" s="69" t="s">
        <v>121</v>
      </c>
      <c r="H128" s="69" t="s">
        <v>137</v>
      </c>
      <c r="I128" s="69" t="s">
        <v>114</v>
      </c>
      <c r="J128" s="72">
        <v>78</v>
      </c>
    </row>
    <row r="129" spans="1:10" ht="15" customHeight="1">
      <c r="A129" s="70">
        <v>43869</v>
      </c>
      <c r="B129" s="69" t="s">
        <v>256</v>
      </c>
      <c r="C129" s="69" t="s">
        <v>103</v>
      </c>
      <c r="D129" s="71">
        <v>36</v>
      </c>
      <c r="E129" s="69" t="s">
        <v>104</v>
      </c>
      <c r="F129" s="69" t="s">
        <v>105</v>
      </c>
      <c r="G129" s="69" t="s">
        <v>105</v>
      </c>
      <c r="H129" s="69" t="s">
        <v>145</v>
      </c>
      <c r="I129" s="69" t="s">
        <v>111</v>
      </c>
      <c r="J129" s="72">
        <v>400</v>
      </c>
    </row>
    <row r="130" spans="1:10" ht="15" customHeight="1">
      <c r="A130" s="70">
        <v>43870</v>
      </c>
      <c r="B130" s="69" t="s">
        <v>257</v>
      </c>
      <c r="C130" s="69" t="s">
        <v>103</v>
      </c>
      <c r="D130" s="71">
        <v>33</v>
      </c>
      <c r="E130" s="69" t="s">
        <v>104</v>
      </c>
      <c r="F130" s="69" t="s">
        <v>120</v>
      </c>
      <c r="G130" s="69" t="s">
        <v>121</v>
      </c>
      <c r="H130" s="69" t="s">
        <v>126</v>
      </c>
      <c r="I130" s="69" t="s">
        <v>114</v>
      </c>
      <c r="J130" s="72">
        <v>78</v>
      </c>
    </row>
    <row r="131" spans="1:10" ht="15" customHeight="1">
      <c r="A131" s="70">
        <v>43870</v>
      </c>
      <c r="B131" s="69" t="s">
        <v>258</v>
      </c>
      <c r="C131" s="69" t="s">
        <v>116</v>
      </c>
      <c r="D131" s="71">
        <v>72</v>
      </c>
      <c r="E131" s="69" t="s">
        <v>139</v>
      </c>
      <c r="F131" s="69" t="s">
        <v>120</v>
      </c>
      <c r="G131" s="69" t="s">
        <v>125</v>
      </c>
      <c r="H131" s="69" t="s">
        <v>137</v>
      </c>
      <c r="I131" s="69" t="s">
        <v>107</v>
      </c>
      <c r="J131" s="72">
        <v>65</v>
      </c>
    </row>
    <row r="132" spans="1:10" ht="15" customHeight="1">
      <c r="A132" s="70">
        <v>43870</v>
      </c>
      <c r="B132" s="69" t="s">
        <v>259</v>
      </c>
      <c r="C132" s="69" t="s">
        <v>116</v>
      </c>
      <c r="D132" s="71">
        <v>2</v>
      </c>
      <c r="E132" s="69" t="s">
        <v>113</v>
      </c>
      <c r="F132" s="69" t="s">
        <v>105</v>
      </c>
      <c r="G132" s="69" t="s">
        <v>105</v>
      </c>
      <c r="H132" s="69" t="s">
        <v>145</v>
      </c>
      <c r="I132" s="69" t="s">
        <v>159</v>
      </c>
      <c r="J132" s="72">
        <v>400</v>
      </c>
    </row>
    <row r="133" spans="1:10" ht="15" customHeight="1">
      <c r="A133" s="70">
        <v>43871</v>
      </c>
      <c r="B133" s="69" t="s">
        <v>260</v>
      </c>
      <c r="C133" s="69" t="s">
        <v>103</v>
      </c>
      <c r="D133" s="71">
        <v>7</v>
      </c>
      <c r="E133" s="69" t="s">
        <v>139</v>
      </c>
      <c r="F133" s="69" t="s">
        <v>120</v>
      </c>
      <c r="G133" s="69" t="s">
        <v>142</v>
      </c>
      <c r="H133" s="69" t="s">
        <v>128</v>
      </c>
      <c r="I133" s="69" t="s">
        <v>118</v>
      </c>
      <c r="J133" s="72">
        <v>52</v>
      </c>
    </row>
    <row r="134" spans="1:10" ht="15" customHeight="1">
      <c r="A134" s="70">
        <v>43871</v>
      </c>
      <c r="B134" s="69" t="s">
        <v>261</v>
      </c>
      <c r="C134" s="69" t="s">
        <v>116</v>
      </c>
      <c r="D134" s="71">
        <v>49</v>
      </c>
      <c r="E134" s="69" t="s">
        <v>113</v>
      </c>
      <c r="F134" s="69" t="s">
        <v>120</v>
      </c>
      <c r="G134" s="69" t="s">
        <v>125</v>
      </c>
      <c r="H134" s="69" t="s">
        <v>137</v>
      </c>
      <c r="I134" s="69" t="s">
        <v>118</v>
      </c>
      <c r="J134" s="72">
        <v>65</v>
      </c>
    </row>
    <row r="135" spans="1:10" ht="15" customHeight="1">
      <c r="A135" s="70">
        <v>43872</v>
      </c>
      <c r="B135" s="69" t="s">
        <v>262</v>
      </c>
      <c r="C135" s="69" t="s">
        <v>116</v>
      </c>
      <c r="D135" s="71">
        <v>71</v>
      </c>
      <c r="E135" s="69" t="s">
        <v>109</v>
      </c>
      <c r="F135" s="69" t="s">
        <v>105</v>
      </c>
      <c r="G135" s="69" t="s">
        <v>105</v>
      </c>
      <c r="H135" s="69" t="s">
        <v>137</v>
      </c>
      <c r="I135" s="69" t="s">
        <v>129</v>
      </c>
      <c r="J135" s="72">
        <v>400</v>
      </c>
    </row>
    <row r="136" spans="1:10" ht="15" customHeight="1">
      <c r="A136" s="70">
        <v>43872</v>
      </c>
      <c r="B136" s="69" t="s">
        <v>263</v>
      </c>
      <c r="C136" s="69" t="s">
        <v>116</v>
      </c>
      <c r="D136" s="71">
        <v>39</v>
      </c>
      <c r="E136" s="69" t="s">
        <v>104</v>
      </c>
      <c r="F136" s="69" t="s">
        <v>105</v>
      </c>
      <c r="G136" s="69" t="s">
        <v>105</v>
      </c>
      <c r="H136" s="69" t="s">
        <v>106</v>
      </c>
      <c r="I136" s="69" t="s">
        <v>111</v>
      </c>
      <c r="J136" s="72">
        <v>400</v>
      </c>
    </row>
    <row r="137" spans="1:10" ht="15" customHeight="1">
      <c r="A137" s="70">
        <v>43872</v>
      </c>
      <c r="B137" s="69" t="s">
        <v>264</v>
      </c>
      <c r="C137" s="69" t="s">
        <v>103</v>
      </c>
      <c r="D137" s="71">
        <v>42</v>
      </c>
      <c r="E137" s="69" t="s">
        <v>113</v>
      </c>
      <c r="F137" s="69" t="s">
        <v>105</v>
      </c>
      <c r="G137" s="69" t="s">
        <v>105</v>
      </c>
      <c r="H137" s="69" t="s">
        <v>106</v>
      </c>
      <c r="I137" s="69" t="s">
        <v>111</v>
      </c>
      <c r="J137" s="72">
        <v>400</v>
      </c>
    </row>
    <row r="138" spans="1:10" ht="15" customHeight="1">
      <c r="A138" s="70">
        <v>43873</v>
      </c>
      <c r="B138" s="69" t="s">
        <v>265</v>
      </c>
      <c r="C138" s="69" t="s">
        <v>116</v>
      </c>
      <c r="D138" s="71">
        <v>0</v>
      </c>
      <c r="E138" s="69" t="s">
        <v>104</v>
      </c>
      <c r="F138" s="69" t="s">
        <v>105</v>
      </c>
      <c r="G138" s="69" t="s">
        <v>105</v>
      </c>
      <c r="H138" s="69" t="s">
        <v>117</v>
      </c>
      <c r="I138" s="69" t="s">
        <v>118</v>
      </c>
      <c r="J138" s="72">
        <v>400</v>
      </c>
    </row>
    <row r="139" spans="1:10" ht="15" customHeight="1">
      <c r="A139" s="70">
        <v>43873</v>
      </c>
      <c r="B139" s="69" t="s">
        <v>266</v>
      </c>
      <c r="C139" s="69" t="s">
        <v>116</v>
      </c>
      <c r="D139" s="71">
        <v>38</v>
      </c>
      <c r="E139" s="69" t="s">
        <v>139</v>
      </c>
      <c r="F139" s="69" t="s">
        <v>120</v>
      </c>
      <c r="G139" s="69" t="s">
        <v>121</v>
      </c>
      <c r="H139" s="69" t="s">
        <v>131</v>
      </c>
      <c r="I139" s="69" t="s">
        <v>111</v>
      </c>
      <c r="J139" s="72">
        <v>78</v>
      </c>
    </row>
    <row r="140" spans="1:10" ht="15" customHeight="1">
      <c r="A140" s="70">
        <v>43873</v>
      </c>
      <c r="B140" s="69" t="s">
        <v>267</v>
      </c>
      <c r="C140" s="69" t="s">
        <v>103</v>
      </c>
      <c r="D140" s="71">
        <v>55</v>
      </c>
      <c r="E140" s="69" t="s">
        <v>113</v>
      </c>
      <c r="F140" s="69" t="s">
        <v>120</v>
      </c>
      <c r="G140" s="69" t="s">
        <v>142</v>
      </c>
      <c r="H140" s="69" t="s">
        <v>145</v>
      </c>
      <c r="I140" s="69" t="s">
        <v>118</v>
      </c>
      <c r="J140" s="72">
        <v>52</v>
      </c>
    </row>
    <row r="141" spans="1:10" ht="15" customHeight="1">
      <c r="A141" s="70">
        <v>43873</v>
      </c>
      <c r="B141" s="69" t="s">
        <v>268</v>
      </c>
      <c r="C141" s="69" t="s">
        <v>116</v>
      </c>
      <c r="D141" s="71">
        <v>75</v>
      </c>
      <c r="E141" s="69" t="s">
        <v>113</v>
      </c>
      <c r="F141" s="69" t="s">
        <v>120</v>
      </c>
      <c r="G141" s="69" t="s">
        <v>121</v>
      </c>
      <c r="H141" s="69" t="s">
        <v>131</v>
      </c>
      <c r="I141" s="69" t="s">
        <v>118</v>
      </c>
      <c r="J141" s="72">
        <v>78</v>
      </c>
    </row>
    <row r="142" spans="1:10" ht="15" customHeight="1">
      <c r="A142" s="70">
        <v>43873</v>
      </c>
      <c r="B142" s="69" t="s">
        <v>269</v>
      </c>
      <c r="C142" s="69" t="s">
        <v>103</v>
      </c>
      <c r="D142" s="71">
        <v>19</v>
      </c>
      <c r="E142" s="69" t="s">
        <v>139</v>
      </c>
      <c r="F142" s="69" t="s">
        <v>105</v>
      </c>
      <c r="G142" s="69" t="s">
        <v>105</v>
      </c>
      <c r="H142" s="69" t="s">
        <v>137</v>
      </c>
      <c r="I142" s="69" t="s">
        <v>107</v>
      </c>
      <c r="J142" s="72">
        <v>400</v>
      </c>
    </row>
    <row r="143" spans="1:10" ht="15" customHeight="1">
      <c r="A143" s="70">
        <v>43873</v>
      </c>
      <c r="B143" s="69" t="s">
        <v>270</v>
      </c>
      <c r="C143" s="69" t="s">
        <v>116</v>
      </c>
      <c r="D143" s="71">
        <v>32</v>
      </c>
      <c r="E143" s="69" t="s">
        <v>139</v>
      </c>
      <c r="F143" s="69" t="s">
        <v>105</v>
      </c>
      <c r="G143" s="69" t="s">
        <v>105</v>
      </c>
      <c r="H143" s="69" t="s">
        <v>131</v>
      </c>
      <c r="I143" s="69" t="s">
        <v>114</v>
      </c>
      <c r="J143" s="72">
        <v>400</v>
      </c>
    </row>
    <row r="144" spans="1:10" ht="15" customHeight="1">
      <c r="A144" s="70">
        <v>43874</v>
      </c>
      <c r="B144" s="69" t="s">
        <v>271</v>
      </c>
      <c r="C144" s="69" t="s">
        <v>103</v>
      </c>
      <c r="D144" s="71">
        <v>72</v>
      </c>
      <c r="E144" s="69" t="s">
        <v>139</v>
      </c>
      <c r="F144" s="69" t="s">
        <v>120</v>
      </c>
      <c r="G144" s="69" t="s">
        <v>125</v>
      </c>
      <c r="H144" s="69" t="s">
        <v>145</v>
      </c>
      <c r="I144" s="69" t="s">
        <v>107</v>
      </c>
      <c r="J144" s="72">
        <v>65</v>
      </c>
    </row>
    <row r="145" spans="1:10" ht="15" customHeight="1">
      <c r="A145" s="70">
        <v>43874</v>
      </c>
      <c r="B145" s="69" t="s">
        <v>272</v>
      </c>
      <c r="C145" s="69" t="s">
        <v>103</v>
      </c>
      <c r="D145" s="71">
        <v>16</v>
      </c>
      <c r="E145" s="69" t="s">
        <v>113</v>
      </c>
      <c r="F145" s="69" t="s">
        <v>105</v>
      </c>
      <c r="G145" s="69" t="s">
        <v>105</v>
      </c>
      <c r="H145" s="69" t="s">
        <v>117</v>
      </c>
      <c r="I145" s="69" t="s">
        <v>114</v>
      </c>
      <c r="J145" s="72">
        <v>400</v>
      </c>
    </row>
    <row r="146" spans="1:10" ht="15" customHeight="1">
      <c r="A146" s="70">
        <v>43874</v>
      </c>
      <c r="B146" s="69" t="s">
        <v>273</v>
      </c>
      <c r="C146" s="69" t="s">
        <v>116</v>
      </c>
      <c r="D146" s="71">
        <v>46</v>
      </c>
      <c r="E146" s="69" t="s">
        <v>109</v>
      </c>
      <c r="F146" s="69" t="s">
        <v>120</v>
      </c>
      <c r="G146" s="69" t="s">
        <v>121</v>
      </c>
      <c r="H146" s="69" t="s">
        <v>131</v>
      </c>
      <c r="I146" s="69" t="s">
        <v>107</v>
      </c>
      <c r="J146" s="72">
        <v>78</v>
      </c>
    </row>
    <row r="147" spans="1:10" ht="15" customHeight="1">
      <c r="A147" s="70">
        <v>43874</v>
      </c>
      <c r="B147" s="69" t="s">
        <v>274</v>
      </c>
      <c r="C147" s="69" t="s">
        <v>103</v>
      </c>
      <c r="D147" s="71">
        <v>31</v>
      </c>
      <c r="E147" s="69" t="s">
        <v>104</v>
      </c>
      <c r="F147" s="69" t="s">
        <v>120</v>
      </c>
      <c r="G147" s="69" t="s">
        <v>125</v>
      </c>
      <c r="H147" s="69" t="s">
        <v>110</v>
      </c>
      <c r="I147" s="69" t="s">
        <v>129</v>
      </c>
      <c r="J147" s="72">
        <v>65</v>
      </c>
    </row>
    <row r="148" spans="1:10" ht="15" customHeight="1">
      <c r="A148" s="70">
        <v>43874</v>
      </c>
      <c r="B148" s="69" t="s">
        <v>275</v>
      </c>
      <c r="C148" s="69" t="s">
        <v>103</v>
      </c>
      <c r="D148" s="71">
        <v>64</v>
      </c>
      <c r="E148" s="69" t="s">
        <v>109</v>
      </c>
      <c r="F148" s="69" t="s">
        <v>120</v>
      </c>
      <c r="G148" s="69" t="s">
        <v>121</v>
      </c>
      <c r="H148" s="69" t="s">
        <v>106</v>
      </c>
      <c r="I148" s="69" t="s">
        <v>159</v>
      </c>
      <c r="J148" s="72">
        <v>78</v>
      </c>
    </row>
    <row r="149" spans="1:10" ht="15" customHeight="1">
      <c r="A149" s="70">
        <v>43875</v>
      </c>
      <c r="B149" s="69" t="s">
        <v>276</v>
      </c>
      <c r="C149" s="69" t="s">
        <v>116</v>
      </c>
      <c r="D149" s="71">
        <v>71</v>
      </c>
      <c r="E149" s="69" t="s">
        <v>139</v>
      </c>
      <c r="F149" s="69" t="s">
        <v>105</v>
      </c>
      <c r="G149" s="69" t="s">
        <v>105</v>
      </c>
      <c r="H149" s="69" t="s">
        <v>128</v>
      </c>
      <c r="I149" s="69" t="s">
        <v>107</v>
      </c>
      <c r="J149" s="72">
        <v>400</v>
      </c>
    </row>
    <row r="150" spans="1:10" ht="15" customHeight="1">
      <c r="A150" s="70">
        <v>43875</v>
      </c>
      <c r="B150" s="69" t="s">
        <v>277</v>
      </c>
      <c r="C150" s="69" t="s">
        <v>103</v>
      </c>
      <c r="D150" s="71">
        <v>49</v>
      </c>
      <c r="E150" s="69" t="s">
        <v>139</v>
      </c>
      <c r="F150" s="69" t="s">
        <v>105</v>
      </c>
      <c r="G150" s="69" t="s">
        <v>105</v>
      </c>
      <c r="H150" s="69" t="s">
        <v>145</v>
      </c>
      <c r="I150" s="69" t="s">
        <v>118</v>
      </c>
      <c r="J150" s="72">
        <v>400</v>
      </c>
    </row>
    <row r="151" spans="1:10" ht="15" customHeight="1">
      <c r="A151" s="70">
        <v>43875</v>
      </c>
      <c r="B151" s="69" t="s">
        <v>278</v>
      </c>
      <c r="C151" s="69" t="s">
        <v>103</v>
      </c>
      <c r="D151" s="71">
        <v>34</v>
      </c>
      <c r="E151" s="69" t="s">
        <v>113</v>
      </c>
      <c r="F151" s="69" t="s">
        <v>105</v>
      </c>
      <c r="G151" s="69" t="s">
        <v>105</v>
      </c>
      <c r="H151" s="69" t="s">
        <v>131</v>
      </c>
      <c r="I151" s="69" t="s">
        <v>114</v>
      </c>
      <c r="J151" s="72">
        <v>400</v>
      </c>
    </row>
    <row r="152" spans="1:10" ht="15" customHeight="1">
      <c r="A152" s="70">
        <v>43875</v>
      </c>
      <c r="B152" s="69" t="s">
        <v>279</v>
      </c>
      <c r="C152" s="69" t="s">
        <v>103</v>
      </c>
      <c r="D152" s="71">
        <v>10</v>
      </c>
      <c r="E152" s="69" t="s">
        <v>113</v>
      </c>
      <c r="F152" s="69" t="s">
        <v>105</v>
      </c>
      <c r="G152" s="69" t="s">
        <v>105</v>
      </c>
      <c r="H152" s="69" t="s">
        <v>110</v>
      </c>
      <c r="I152" s="69" t="s">
        <v>111</v>
      </c>
      <c r="J152" s="72">
        <v>400</v>
      </c>
    </row>
    <row r="153" spans="1:10" ht="15" customHeight="1">
      <c r="A153" s="70">
        <v>43876</v>
      </c>
      <c r="B153" s="69" t="s">
        <v>280</v>
      </c>
      <c r="C153" s="69" t="s">
        <v>103</v>
      </c>
      <c r="D153" s="71">
        <v>49</v>
      </c>
      <c r="E153" s="69" t="s">
        <v>104</v>
      </c>
      <c r="F153" s="69" t="s">
        <v>105</v>
      </c>
      <c r="G153" s="69" t="s">
        <v>105</v>
      </c>
      <c r="H153" s="69" t="s">
        <v>126</v>
      </c>
      <c r="I153" s="69" t="s">
        <v>118</v>
      </c>
      <c r="J153" s="72">
        <v>400</v>
      </c>
    </row>
    <row r="154" spans="1:10" ht="15" customHeight="1">
      <c r="A154" s="70">
        <v>43876</v>
      </c>
      <c r="B154" s="69" t="s">
        <v>281</v>
      </c>
      <c r="C154" s="69" t="s">
        <v>103</v>
      </c>
      <c r="D154" s="71">
        <v>1</v>
      </c>
      <c r="E154" s="69" t="s">
        <v>104</v>
      </c>
      <c r="F154" s="69" t="s">
        <v>105</v>
      </c>
      <c r="G154" s="69" t="s">
        <v>105</v>
      </c>
      <c r="H154" s="69" t="s">
        <v>106</v>
      </c>
      <c r="I154" s="69" t="s">
        <v>114</v>
      </c>
      <c r="J154" s="72">
        <v>400</v>
      </c>
    </row>
    <row r="155" spans="1:10" ht="15" customHeight="1">
      <c r="A155" s="70">
        <v>43876</v>
      </c>
      <c r="B155" s="69" t="s">
        <v>161</v>
      </c>
      <c r="C155" s="69" t="s">
        <v>116</v>
      </c>
      <c r="D155" s="71">
        <v>17</v>
      </c>
      <c r="E155" s="69" t="s">
        <v>113</v>
      </c>
      <c r="F155" s="69" t="s">
        <v>105</v>
      </c>
      <c r="G155" s="69" t="s">
        <v>105</v>
      </c>
      <c r="H155" s="69" t="s">
        <v>145</v>
      </c>
      <c r="I155" s="69" t="s">
        <v>159</v>
      </c>
      <c r="J155" s="72">
        <v>400</v>
      </c>
    </row>
    <row r="156" spans="1:10" ht="15" customHeight="1">
      <c r="A156" s="70">
        <v>43876</v>
      </c>
      <c r="B156" s="69" t="s">
        <v>282</v>
      </c>
      <c r="C156" s="69" t="s">
        <v>116</v>
      </c>
      <c r="D156" s="71">
        <v>48</v>
      </c>
      <c r="E156" s="69" t="s">
        <v>109</v>
      </c>
      <c r="F156" s="69" t="s">
        <v>105</v>
      </c>
      <c r="G156" s="69" t="s">
        <v>105</v>
      </c>
      <c r="H156" s="69" t="s">
        <v>137</v>
      </c>
      <c r="I156" s="69" t="s">
        <v>118</v>
      </c>
      <c r="J156" s="72">
        <v>400</v>
      </c>
    </row>
    <row r="157" spans="1:10" ht="15" customHeight="1">
      <c r="A157" s="70">
        <v>43877</v>
      </c>
      <c r="B157" s="69" t="s">
        <v>283</v>
      </c>
      <c r="C157" s="69" t="s">
        <v>116</v>
      </c>
      <c r="D157" s="71">
        <v>13</v>
      </c>
      <c r="E157" s="69" t="s">
        <v>139</v>
      </c>
      <c r="F157" s="69" t="s">
        <v>120</v>
      </c>
      <c r="G157" s="69" t="s">
        <v>125</v>
      </c>
      <c r="H157" s="69" t="s">
        <v>145</v>
      </c>
      <c r="I157" s="69" t="s">
        <v>114</v>
      </c>
      <c r="J157" s="72">
        <v>65</v>
      </c>
    </row>
    <row r="158" spans="1:10" ht="15" customHeight="1">
      <c r="A158" s="70">
        <v>43877</v>
      </c>
      <c r="B158" s="69" t="s">
        <v>284</v>
      </c>
      <c r="C158" s="69" t="s">
        <v>103</v>
      </c>
      <c r="D158" s="71">
        <v>32</v>
      </c>
      <c r="E158" s="69" t="s">
        <v>113</v>
      </c>
      <c r="F158" s="69" t="s">
        <v>105</v>
      </c>
      <c r="G158" s="69" t="s">
        <v>105</v>
      </c>
      <c r="H158" s="69" t="s">
        <v>117</v>
      </c>
      <c r="I158" s="69" t="s">
        <v>118</v>
      </c>
      <c r="J158" s="72">
        <v>400</v>
      </c>
    </row>
    <row r="159" spans="1:10" ht="15" customHeight="1">
      <c r="A159" s="70">
        <v>43877</v>
      </c>
      <c r="B159" s="69" t="s">
        <v>285</v>
      </c>
      <c r="C159" s="69" t="s">
        <v>116</v>
      </c>
      <c r="D159" s="71">
        <v>14</v>
      </c>
      <c r="E159" s="69" t="s">
        <v>113</v>
      </c>
      <c r="F159" s="69" t="s">
        <v>120</v>
      </c>
      <c r="G159" s="69" t="s">
        <v>121</v>
      </c>
      <c r="H159" s="69" t="s">
        <v>137</v>
      </c>
      <c r="I159" s="69" t="s">
        <v>129</v>
      </c>
      <c r="J159" s="72">
        <v>78</v>
      </c>
    </row>
    <row r="160" spans="1:10" ht="15" customHeight="1">
      <c r="A160" s="70">
        <v>43877</v>
      </c>
      <c r="B160" s="69" t="s">
        <v>286</v>
      </c>
      <c r="C160" s="69" t="s">
        <v>116</v>
      </c>
      <c r="D160" s="71">
        <v>56</v>
      </c>
      <c r="E160" s="69" t="s">
        <v>109</v>
      </c>
      <c r="F160" s="69" t="s">
        <v>105</v>
      </c>
      <c r="G160" s="69" t="s">
        <v>105</v>
      </c>
      <c r="H160" s="69" t="s">
        <v>110</v>
      </c>
      <c r="I160" s="69" t="s">
        <v>111</v>
      </c>
      <c r="J160" s="72">
        <v>400</v>
      </c>
    </row>
    <row r="161" spans="1:10" ht="15" customHeight="1">
      <c r="A161" s="70">
        <v>43877</v>
      </c>
      <c r="B161" s="69" t="s">
        <v>287</v>
      </c>
      <c r="C161" s="69" t="s">
        <v>103</v>
      </c>
      <c r="D161" s="71">
        <v>6</v>
      </c>
      <c r="E161" s="69" t="s">
        <v>139</v>
      </c>
      <c r="F161" s="69" t="s">
        <v>105</v>
      </c>
      <c r="G161" s="69" t="s">
        <v>105</v>
      </c>
      <c r="H161" s="69" t="s">
        <v>131</v>
      </c>
      <c r="I161" s="69" t="s">
        <v>129</v>
      </c>
      <c r="J161" s="72">
        <v>400</v>
      </c>
    </row>
    <row r="162" spans="1:10" ht="15" customHeight="1">
      <c r="A162" s="70">
        <v>43878</v>
      </c>
      <c r="B162" s="69" t="s">
        <v>221</v>
      </c>
      <c r="C162" s="69" t="s">
        <v>116</v>
      </c>
      <c r="D162" s="71">
        <v>44</v>
      </c>
      <c r="E162" s="69" t="s">
        <v>109</v>
      </c>
      <c r="F162" s="69" t="s">
        <v>105</v>
      </c>
      <c r="G162" s="69" t="s">
        <v>105</v>
      </c>
      <c r="H162" s="69" t="s">
        <v>128</v>
      </c>
      <c r="I162" s="69" t="s">
        <v>118</v>
      </c>
      <c r="J162" s="72">
        <v>400</v>
      </c>
    </row>
    <row r="163" spans="1:10" ht="15" customHeight="1">
      <c r="A163" s="70">
        <v>43878</v>
      </c>
      <c r="B163" s="69" t="s">
        <v>288</v>
      </c>
      <c r="C163" s="69" t="s">
        <v>116</v>
      </c>
      <c r="D163" s="71">
        <v>46</v>
      </c>
      <c r="E163" s="69" t="s">
        <v>109</v>
      </c>
      <c r="F163" s="69" t="s">
        <v>105</v>
      </c>
      <c r="G163" s="69" t="s">
        <v>105</v>
      </c>
      <c r="H163" s="69" t="s">
        <v>106</v>
      </c>
      <c r="I163" s="69" t="s">
        <v>129</v>
      </c>
      <c r="J163" s="72">
        <v>400</v>
      </c>
    </row>
    <row r="164" spans="1:10" ht="15" customHeight="1">
      <c r="A164" s="70">
        <v>43879</v>
      </c>
      <c r="B164" s="69" t="s">
        <v>289</v>
      </c>
      <c r="C164" s="69" t="s">
        <v>103</v>
      </c>
      <c r="D164" s="71">
        <v>67</v>
      </c>
      <c r="E164" s="69" t="s">
        <v>139</v>
      </c>
      <c r="F164" s="69" t="s">
        <v>105</v>
      </c>
      <c r="G164" s="69" t="s">
        <v>105</v>
      </c>
      <c r="H164" s="69" t="s">
        <v>131</v>
      </c>
      <c r="I164" s="69" t="s">
        <v>114</v>
      </c>
      <c r="J164" s="72">
        <v>400</v>
      </c>
    </row>
    <row r="165" spans="1:10" ht="15" customHeight="1">
      <c r="A165" s="70">
        <v>43879</v>
      </c>
      <c r="B165" s="69" t="s">
        <v>290</v>
      </c>
      <c r="C165" s="69" t="s">
        <v>103</v>
      </c>
      <c r="D165" s="71">
        <v>23</v>
      </c>
      <c r="E165" s="69" t="s">
        <v>139</v>
      </c>
      <c r="F165" s="69" t="s">
        <v>120</v>
      </c>
      <c r="G165" s="69" t="s">
        <v>121</v>
      </c>
      <c r="H165" s="69" t="s">
        <v>137</v>
      </c>
      <c r="I165" s="69" t="s">
        <v>118</v>
      </c>
      <c r="J165" s="72">
        <v>78</v>
      </c>
    </row>
    <row r="166" spans="1:10" ht="15" customHeight="1">
      <c r="A166" s="70">
        <v>43879</v>
      </c>
      <c r="B166" s="69" t="s">
        <v>291</v>
      </c>
      <c r="C166" s="69" t="s">
        <v>116</v>
      </c>
      <c r="D166" s="71">
        <v>62</v>
      </c>
      <c r="E166" s="69" t="s">
        <v>139</v>
      </c>
      <c r="F166" s="69" t="s">
        <v>120</v>
      </c>
      <c r="G166" s="69" t="s">
        <v>125</v>
      </c>
      <c r="H166" s="69" t="s">
        <v>137</v>
      </c>
      <c r="I166" s="69" t="s">
        <v>114</v>
      </c>
      <c r="J166" s="72">
        <v>65</v>
      </c>
    </row>
    <row r="167" spans="1:10" ht="15" customHeight="1">
      <c r="A167" s="70">
        <v>43879</v>
      </c>
      <c r="B167" s="69" t="s">
        <v>292</v>
      </c>
      <c r="C167" s="69" t="s">
        <v>116</v>
      </c>
      <c r="D167" s="71">
        <v>23</v>
      </c>
      <c r="E167" s="69" t="s">
        <v>113</v>
      </c>
      <c r="F167" s="69" t="s">
        <v>105</v>
      </c>
      <c r="G167" s="69" t="s">
        <v>105</v>
      </c>
      <c r="H167" s="69" t="s">
        <v>106</v>
      </c>
      <c r="I167" s="69" t="s">
        <v>111</v>
      </c>
      <c r="J167" s="72">
        <v>400</v>
      </c>
    </row>
    <row r="168" spans="1:10" ht="15" customHeight="1">
      <c r="A168" s="70">
        <v>43880</v>
      </c>
      <c r="B168" s="69" t="s">
        <v>231</v>
      </c>
      <c r="C168" s="69" t="s">
        <v>116</v>
      </c>
      <c r="D168" s="71">
        <v>0</v>
      </c>
      <c r="E168" s="69" t="s">
        <v>109</v>
      </c>
      <c r="F168" s="69" t="s">
        <v>105</v>
      </c>
      <c r="G168" s="69" t="s">
        <v>105</v>
      </c>
      <c r="H168" s="69" t="s">
        <v>106</v>
      </c>
      <c r="I168" s="69" t="s">
        <v>107</v>
      </c>
      <c r="J168" s="72">
        <v>400</v>
      </c>
    </row>
    <row r="169" spans="1:10" ht="15" customHeight="1">
      <c r="A169" s="70">
        <v>43880</v>
      </c>
      <c r="B169" s="69" t="s">
        <v>293</v>
      </c>
      <c r="C169" s="69" t="s">
        <v>103</v>
      </c>
      <c r="D169" s="71">
        <v>26</v>
      </c>
      <c r="E169" s="69" t="s">
        <v>113</v>
      </c>
      <c r="F169" s="69" t="s">
        <v>105</v>
      </c>
      <c r="G169" s="69" t="s">
        <v>105</v>
      </c>
      <c r="H169" s="69" t="s">
        <v>137</v>
      </c>
      <c r="I169" s="69" t="s">
        <v>159</v>
      </c>
      <c r="J169" s="72">
        <v>400</v>
      </c>
    </row>
    <row r="170" spans="1:10" ht="15" customHeight="1">
      <c r="A170" s="70">
        <v>43880</v>
      </c>
      <c r="B170" s="69" t="s">
        <v>294</v>
      </c>
      <c r="C170" s="69" t="s">
        <v>103</v>
      </c>
      <c r="D170" s="71">
        <v>25</v>
      </c>
      <c r="E170" s="69" t="s">
        <v>113</v>
      </c>
      <c r="F170" s="69" t="s">
        <v>105</v>
      </c>
      <c r="G170" s="69" t="s">
        <v>105</v>
      </c>
      <c r="H170" s="69" t="s">
        <v>137</v>
      </c>
      <c r="I170" s="69" t="s">
        <v>129</v>
      </c>
      <c r="J170" s="72">
        <v>400</v>
      </c>
    </row>
    <row r="171" spans="1:10" ht="15" customHeight="1">
      <c r="A171" s="70">
        <v>43881</v>
      </c>
      <c r="B171" s="69" t="s">
        <v>295</v>
      </c>
      <c r="C171" s="69" t="s">
        <v>103</v>
      </c>
      <c r="D171" s="71">
        <v>1</v>
      </c>
      <c r="E171" s="69" t="s">
        <v>113</v>
      </c>
      <c r="F171" s="69" t="s">
        <v>105</v>
      </c>
      <c r="G171" s="69" t="s">
        <v>105</v>
      </c>
      <c r="H171" s="69" t="s">
        <v>128</v>
      </c>
      <c r="I171" s="69" t="s">
        <v>118</v>
      </c>
      <c r="J171" s="72">
        <v>400</v>
      </c>
    </row>
    <row r="172" spans="1:10" ht="15" customHeight="1">
      <c r="A172" s="70">
        <v>43881</v>
      </c>
      <c r="B172" s="69" t="s">
        <v>296</v>
      </c>
      <c r="C172" s="69" t="s">
        <v>116</v>
      </c>
      <c r="D172" s="71">
        <v>68</v>
      </c>
      <c r="E172" s="69" t="s">
        <v>104</v>
      </c>
      <c r="F172" s="69" t="s">
        <v>120</v>
      </c>
      <c r="G172" s="69" t="s">
        <v>123</v>
      </c>
      <c r="H172" s="69" t="s">
        <v>145</v>
      </c>
      <c r="I172" s="69" t="s">
        <v>111</v>
      </c>
      <c r="J172" s="72">
        <v>90</v>
      </c>
    </row>
    <row r="173" spans="1:10" ht="15" customHeight="1">
      <c r="A173" s="70">
        <v>43881</v>
      </c>
      <c r="B173" s="69" t="s">
        <v>297</v>
      </c>
      <c r="C173" s="69" t="s">
        <v>116</v>
      </c>
      <c r="D173" s="71">
        <v>7</v>
      </c>
      <c r="E173" s="69" t="s">
        <v>104</v>
      </c>
      <c r="F173" s="69" t="s">
        <v>105</v>
      </c>
      <c r="G173" s="69" t="s">
        <v>105</v>
      </c>
      <c r="H173" s="69" t="s">
        <v>117</v>
      </c>
      <c r="I173" s="69" t="s">
        <v>129</v>
      </c>
      <c r="J173" s="72">
        <v>400</v>
      </c>
    </row>
    <row r="174" spans="1:10" ht="15" customHeight="1">
      <c r="A174" s="70">
        <v>43881</v>
      </c>
      <c r="B174" s="69" t="s">
        <v>298</v>
      </c>
      <c r="C174" s="69" t="s">
        <v>116</v>
      </c>
      <c r="D174" s="71">
        <v>41</v>
      </c>
      <c r="E174" s="69" t="s">
        <v>104</v>
      </c>
      <c r="F174" s="69" t="s">
        <v>120</v>
      </c>
      <c r="G174" s="69" t="s">
        <v>121</v>
      </c>
      <c r="H174" s="69" t="s">
        <v>106</v>
      </c>
      <c r="I174" s="69" t="s">
        <v>118</v>
      </c>
      <c r="J174" s="72">
        <v>78</v>
      </c>
    </row>
    <row r="175" spans="1:10" ht="15" customHeight="1">
      <c r="A175" s="70">
        <v>43881</v>
      </c>
      <c r="B175" s="69" t="s">
        <v>299</v>
      </c>
      <c r="C175" s="69" t="s">
        <v>116</v>
      </c>
      <c r="D175" s="71">
        <v>60</v>
      </c>
      <c r="E175" s="69" t="s">
        <v>139</v>
      </c>
      <c r="F175" s="69" t="s">
        <v>120</v>
      </c>
      <c r="G175" s="69" t="s">
        <v>142</v>
      </c>
      <c r="H175" s="69" t="s">
        <v>128</v>
      </c>
      <c r="I175" s="69" t="s">
        <v>159</v>
      </c>
      <c r="J175" s="72">
        <v>52</v>
      </c>
    </row>
    <row r="176" spans="1:10" ht="15" customHeight="1">
      <c r="A176" s="70">
        <v>43881</v>
      </c>
      <c r="B176" s="69" t="s">
        <v>300</v>
      </c>
      <c r="C176" s="69" t="s">
        <v>116</v>
      </c>
      <c r="D176" s="71">
        <v>26</v>
      </c>
      <c r="E176" s="69" t="s">
        <v>113</v>
      </c>
      <c r="F176" s="69" t="s">
        <v>105</v>
      </c>
      <c r="G176" s="69" t="s">
        <v>105</v>
      </c>
      <c r="H176" s="69" t="s">
        <v>110</v>
      </c>
      <c r="I176" s="69" t="s">
        <v>107</v>
      </c>
      <c r="J176" s="72">
        <v>400</v>
      </c>
    </row>
    <row r="177" spans="1:10" ht="15" customHeight="1">
      <c r="A177" s="70">
        <v>43881</v>
      </c>
      <c r="B177" s="69" t="s">
        <v>301</v>
      </c>
      <c r="C177" s="69" t="s">
        <v>116</v>
      </c>
      <c r="D177" s="71">
        <v>44</v>
      </c>
      <c r="E177" s="69" t="s">
        <v>109</v>
      </c>
      <c r="F177" s="69" t="s">
        <v>105</v>
      </c>
      <c r="G177" s="69" t="s">
        <v>105</v>
      </c>
      <c r="H177" s="69" t="s">
        <v>145</v>
      </c>
      <c r="I177" s="69" t="s">
        <v>118</v>
      </c>
      <c r="J177" s="72">
        <v>400</v>
      </c>
    </row>
    <row r="178" spans="1:10" ht="15" customHeight="1">
      <c r="A178" s="70">
        <v>43882</v>
      </c>
      <c r="B178" s="69" t="s">
        <v>302</v>
      </c>
      <c r="C178" s="69" t="s">
        <v>116</v>
      </c>
      <c r="D178" s="71">
        <v>11</v>
      </c>
      <c r="E178" s="69" t="s">
        <v>139</v>
      </c>
      <c r="F178" s="69" t="s">
        <v>105</v>
      </c>
      <c r="G178" s="69" t="s">
        <v>105</v>
      </c>
      <c r="H178" s="69" t="s">
        <v>137</v>
      </c>
      <c r="I178" s="69" t="s">
        <v>159</v>
      </c>
      <c r="J178" s="72">
        <v>400</v>
      </c>
    </row>
    <row r="179" spans="1:10" ht="15" customHeight="1">
      <c r="A179" s="70">
        <v>43883</v>
      </c>
      <c r="B179" s="69" t="s">
        <v>303</v>
      </c>
      <c r="C179" s="69" t="s">
        <v>116</v>
      </c>
      <c r="D179" s="71">
        <v>53</v>
      </c>
      <c r="E179" s="69" t="s">
        <v>109</v>
      </c>
      <c r="F179" s="69" t="s">
        <v>120</v>
      </c>
      <c r="G179" s="69" t="s">
        <v>121</v>
      </c>
      <c r="H179" s="69" t="s">
        <v>145</v>
      </c>
      <c r="I179" s="69" t="s">
        <v>118</v>
      </c>
      <c r="J179" s="72">
        <v>78</v>
      </c>
    </row>
    <row r="180" spans="1:10" ht="15" customHeight="1">
      <c r="A180" s="70">
        <v>43883</v>
      </c>
      <c r="B180" s="69" t="s">
        <v>304</v>
      </c>
      <c r="C180" s="69" t="s">
        <v>116</v>
      </c>
      <c r="D180" s="71">
        <v>32</v>
      </c>
      <c r="E180" s="69" t="s">
        <v>104</v>
      </c>
      <c r="F180" s="69" t="s">
        <v>120</v>
      </c>
      <c r="G180" s="69" t="s">
        <v>125</v>
      </c>
      <c r="H180" s="69" t="s">
        <v>128</v>
      </c>
      <c r="I180" s="69" t="s">
        <v>111</v>
      </c>
      <c r="J180" s="72">
        <v>65</v>
      </c>
    </row>
    <row r="181" spans="1:10" ht="15" customHeight="1">
      <c r="A181" s="70">
        <v>43884</v>
      </c>
      <c r="B181" s="69" t="s">
        <v>305</v>
      </c>
      <c r="C181" s="69" t="s">
        <v>103</v>
      </c>
      <c r="D181" s="71">
        <v>49</v>
      </c>
      <c r="E181" s="69" t="s">
        <v>113</v>
      </c>
      <c r="F181" s="69" t="s">
        <v>120</v>
      </c>
      <c r="G181" s="69" t="s">
        <v>123</v>
      </c>
      <c r="H181" s="69" t="s">
        <v>106</v>
      </c>
      <c r="I181" s="69" t="s">
        <v>118</v>
      </c>
      <c r="J181" s="72">
        <v>90</v>
      </c>
    </row>
    <row r="182" spans="1:10" ht="15" customHeight="1">
      <c r="A182" s="70">
        <v>43884</v>
      </c>
      <c r="B182" s="69" t="s">
        <v>306</v>
      </c>
      <c r="C182" s="69" t="s">
        <v>116</v>
      </c>
      <c r="D182" s="71">
        <v>45</v>
      </c>
      <c r="E182" s="69" t="s">
        <v>109</v>
      </c>
      <c r="F182" s="69" t="s">
        <v>105</v>
      </c>
      <c r="G182" s="69" t="s">
        <v>105</v>
      </c>
      <c r="H182" s="69" t="s">
        <v>110</v>
      </c>
      <c r="I182" s="69" t="s">
        <v>111</v>
      </c>
      <c r="J182" s="72">
        <v>400</v>
      </c>
    </row>
    <row r="183" spans="1:10" ht="15" customHeight="1">
      <c r="A183" s="70">
        <v>43884</v>
      </c>
      <c r="B183" s="69" t="s">
        <v>307</v>
      </c>
      <c r="C183" s="69" t="s">
        <v>103</v>
      </c>
      <c r="D183" s="71">
        <v>25</v>
      </c>
      <c r="E183" s="69" t="s">
        <v>104</v>
      </c>
      <c r="F183" s="69" t="s">
        <v>105</v>
      </c>
      <c r="G183" s="69" t="s">
        <v>105</v>
      </c>
      <c r="H183" s="69" t="s">
        <v>106</v>
      </c>
      <c r="I183" s="69" t="s">
        <v>159</v>
      </c>
      <c r="J183" s="72">
        <v>400</v>
      </c>
    </row>
    <row r="184" spans="1:10" ht="15" customHeight="1">
      <c r="A184" s="70">
        <v>43885</v>
      </c>
      <c r="B184" s="69" t="s">
        <v>308</v>
      </c>
      <c r="C184" s="69" t="s">
        <v>116</v>
      </c>
      <c r="D184" s="71">
        <v>46</v>
      </c>
      <c r="E184" s="69" t="s">
        <v>139</v>
      </c>
      <c r="F184" s="69" t="s">
        <v>105</v>
      </c>
      <c r="G184" s="69" t="s">
        <v>105</v>
      </c>
      <c r="H184" s="69" t="s">
        <v>137</v>
      </c>
      <c r="I184" s="69" t="s">
        <v>118</v>
      </c>
      <c r="J184" s="72">
        <v>400</v>
      </c>
    </row>
    <row r="185" spans="1:10" ht="15" customHeight="1">
      <c r="A185" s="70">
        <v>43885</v>
      </c>
      <c r="B185" s="69" t="s">
        <v>309</v>
      </c>
      <c r="C185" s="69" t="s">
        <v>103</v>
      </c>
      <c r="D185" s="71">
        <v>61</v>
      </c>
      <c r="E185" s="69" t="s">
        <v>109</v>
      </c>
      <c r="F185" s="69" t="s">
        <v>105</v>
      </c>
      <c r="G185" s="69" t="s">
        <v>105</v>
      </c>
      <c r="H185" s="69" t="s">
        <v>137</v>
      </c>
      <c r="I185" s="69" t="s">
        <v>114</v>
      </c>
      <c r="J185" s="72">
        <v>400</v>
      </c>
    </row>
    <row r="186" spans="1:10" ht="15" customHeight="1">
      <c r="A186" s="70">
        <v>43885</v>
      </c>
      <c r="B186" s="69" t="s">
        <v>310</v>
      </c>
      <c r="C186" s="69" t="s">
        <v>116</v>
      </c>
      <c r="D186" s="71">
        <v>55</v>
      </c>
      <c r="E186" s="69" t="s">
        <v>113</v>
      </c>
      <c r="F186" s="69" t="s">
        <v>120</v>
      </c>
      <c r="G186" s="69" t="s">
        <v>125</v>
      </c>
      <c r="H186" s="69" t="s">
        <v>131</v>
      </c>
      <c r="I186" s="69" t="s">
        <v>111</v>
      </c>
      <c r="J186" s="72">
        <v>65</v>
      </c>
    </row>
    <row r="187" spans="1:10" ht="15" customHeight="1">
      <c r="A187" s="70">
        <v>43885</v>
      </c>
      <c r="B187" s="69" t="s">
        <v>311</v>
      </c>
      <c r="C187" s="69" t="s">
        <v>103</v>
      </c>
      <c r="D187" s="71">
        <v>1</v>
      </c>
      <c r="E187" s="69" t="s">
        <v>139</v>
      </c>
      <c r="F187" s="69" t="s">
        <v>105</v>
      </c>
      <c r="G187" s="69" t="s">
        <v>105</v>
      </c>
      <c r="H187" s="69" t="s">
        <v>137</v>
      </c>
      <c r="I187" s="69" t="s">
        <v>114</v>
      </c>
      <c r="J187" s="72">
        <v>400</v>
      </c>
    </row>
    <row r="188" spans="1:10" ht="15" customHeight="1">
      <c r="A188" s="70">
        <v>43885</v>
      </c>
      <c r="B188" s="69" t="s">
        <v>312</v>
      </c>
      <c r="C188" s="69" t="s">
        <v>103</v>
      </c>
      <c r="D188" s="71">
        <v>62</v>
      </c>
      <c r="E188" s="69" t="s">
        <v>109</v>
      </c>
      <c r="F188" s="69" t="s">
        <v>105</v>
      </c>
      <c r="G188" s="69" t="s">
        <v>105</v>
      </c>
      <c r="H188" s="69" t="s">
        <v>117</v>
      </c>
      <c r="I188" s="69" t="s">
        <v>118</v>
      </c>
      <c r="J188" s="72">
        <v>400</v>
      </c>
    </row>
    <row r="189" spans="1:10" ht="15" customHeight="1">
      <c r="A189" s="70">
        <v>43886</v>
      </c>
      <c r="B189" s="69" t="s">
        <v>313</v>
      </c>
      <c r="C189" s="69" t="s">
        <v>103</v>
      </c>
      <c r="D189" s="71">
        <v>57</v>
      </c>
      <c r="E189" s="69" t="s">
        <v>109</v>
      </c>
      <c r="F189" s="69" t="s">
        <v>105</v>
      </c>
      <c r="G189" s="69" t="s">
        <v>105</v>
      </c>
      <c r="H189" s="69" t="s">
        <v>110</v>
      </c>
      <c r="I189" s="69" t="s">
        <v>118</v>
      </c>
      <c r="J189" s="72">
        <v>400</v>
      </c>
    </row>
    <row r="190" spans="1:10" ht="15" customHeight="1">
      <c r="A190" s="70">
        <v>43886</v>
      </c>
      <c r="B190" s="69" t="s">
        <v>314</v>
      </c>
      <c r="C190" s="69" t="s">
        <v>103</v>
      </c>
      <c r="D190" s="71">
        <v>26</v>
      </c>
      <c r="E190" s="69" t="s">
        <v>139</v>
      </c>
      <c r="F190" s="69" t="s">
        <v>105</v>
      </c>
      <c r="G190" s="69" t="s">
        <v>105</v>
      </c>
      <c r="H190" s="69" t="s">
        <v>117</v>
      </c>
      <c r="I190" s="69" t="s">
        <v>118</v>
      </c>
      <c r="J190" s="72">
        <v>400</v>
      </c>
    </row>
    <row r="191" spans="1:10" ht="15" customHeight="1">
      <c r="A191" s="70">
        <v>43886</v>
      </c>
      <c r="B191" s="69" t="s">
        <v>315</v>
      </c>
      <c r="C191" s="69" t="s">
        <v>116</v>
      </c>
      <c r="D191" s="71">
        <v>29</v>
      </c>
      <c r="E191" s="69" t="s">
        <v>104</v>
      </c>
      <c r="F191" s="69" t="s">
        <v>105</v>
      </c>
      <c r="G191" s="69" t="s">
        <v>105</v>
      </c>
      <c r="H191" s="69" t="s">
        <v>137</v>
      </c>
      <c r="I191" s="69" t="s">
        <v>159</v>
      </c>
      <c r="J191" s="72">
        <v>400</v>
      </c>
    </row>
    <row r="192" spans="1:10" ht="15" customHeight="1">
      <c r="A192" s="70">
        <v>43886</v>
      </c>
      <c r="B192" s="69" t="s">
        <v>316</v>
      </c>
      <c r="C192" s="69" t="s">
        <v>103</v>
      </c>
      <c r="D192" s="71">
        <v>58</v>
      </c>
      <c r="E192" s="69" t="s">
        <v>109</v>
      </c>
      <c r="F192" s="69" t="s">
        <v>120</v>
      </c>
      <c r="G192" s="69" t="s">
        <v>121</v>
      </c>
      <c r="H192" s="69" t="s">
        <v>131</v>
      </c>
      <c r="I192" s="69" t="s">
        <v>159</v>
      </c>
      <c r="J192" s="72">
        <v>78</v>
      </c>
    </row>
    <row r="193" spans="1:10" ht="15" customHeight="1">
      <c r="A193" s="70">
        <v>43886</v>
      </c>
      <c r="B193" s="69" t="s">
        <v>317</v>
      </c>
      <c r="C193" s="69" t="s">
        <v>103</v>
      </c>
      <c r="D193" s="71">
        <v>64</v>
      </c>
      <c r="E193" s="69" t="s">
        <v>113</v>
      </c>
      <c r="F193" s="69" t="s">
        <v>120</v>
      </c>
      <c r="G193" s="69" t="s">
        <v>125</v>
      </c>
      <c r="H193" s="69" t="s">
        <v>106</v>
      </c>
      <c r="I193" s="69" t="s">
        <v>118</v>
      </c>
      <c r="J193" s="72">
        <v>65</v>
      </c>
    </row>
    <row r="194" spans="1:10" ht="15" customHeight="1">
      <c r="A194" s="70">
        <v>43886</v>
      </c>
      <c r="B194" s="69" t="s">
        <v>318</v>
      </c>
      <c r="C194" s="69" t="s">
        <v>103</v>
      </c>
      <c r="D194" s="71">
        <v>63</v>
      </c>
      <c r="E194" s="69" t="s">
        <v>139</v>
      </c>
      <c r="F194" s="69" t="s">
        <v>120</v>
      </c>
      <c r="G194" s="69" t="s">
        <v>121</v>
      </c>
      <c r="H194" s="69" t="s">
        <v>137</v>
      </c>
      <c r="I194" s="69" t="s">
        <v>129</v>
      </c>
      <c r="J194" s="72">
        <v>78</v>
      </c>
    </row>
    <row r="195" spans="1:10" ht="15" customHeight="1">
      <c r="A195" s="70">
        <v>43887</v>
      </c>
      <c r="B195" s="69" t="s">
        <v>319</v>
      </c>
      <c r="C195" s="69" t="s">
        <v>116</v>
      </c>
      <c r="D195" s="71">
        <v>50</v>
      </c>
      <c r="E195" s="69" t="s">
        <v>139</v>
      </c>
      <c r="F195" s="69" t="s">
        <v>105</v>
      </c>
      <c r="G195" s="69" t="s">
        <v>105</v>
      </c>
      <c r="H195" s="69" t="s">
        <v>137</v>
      </c>
      <c r="I195" s="69" t="s">
        <v>111</v>
      </c>
      <c r="J195" s="72">
        <v>400</v>
      </c>
    </row>
    <row r="196" spans="1:10" ht="15" customHeight="1">
      <c r="A196" s="70">
        <v>43888</v>
      </c>
      <c r="B196" s="69" t="s">
        <v>144</v>
      </c>
      <c r="C196" s="69" t="s">
        <v>116</v>
      </c>
      <c r="D196" s="71">
        <v>7</v>
      </c>
      <c r="E196" s="69" t="s">
        <v>139</v>
      </c>
      <c r="F196" s="69" t="s">
        <v>105</v>
      </c>
      <c r="G196" s="69" t="s">
        <v>105</v>
      </c>
      <c r="H196" s="69" t="s">
        <v>117</v>
      </c>
      <c r="I196" s="69" t="s">
        <v>129</v>
      </c>
      <c r="J196" s="72">
        <v>400</v>
      </c>
    </row>
    <row r="197" spans="1:10" ht="15" customHeight="1">
      <c r="A197" s="70">
        <v>43888</v>
      </c>
      <c r="B197" s="69" t="s">
        <v>320</v>
      </c>
      <c r="C197" s="69" t="s">
        <v>103</v>
      </c>
      <c r="D197" s="71">
        <v>33</v>
      </c>
      <c r="E197" s="69" t="s">
        <v>113</v>
      </c>
      <c r="F197" s="69" t="s">
        <v>105</v>
      </c>
      <c r="G197" s="69" t="s">
        <v>105</v>
      </c>
      <c r="H197" s="69" t="s">
        <v>131</v>
      </c>
      <c r="I197" s="69" t="s">
        <v>114</v>
      </c>
      <c r="J197" s="72">
        <v>400</v>
      </c>
    </row>
    <row r="198" spans="1:10" ht="15" customHeight="1">
      <c r="A198" s="70">
        <v>43889</v>
      </c>
      <c r="B198" s="69" t="s">
        <v>321</v>
      </c>
      <c r="C198" s="69" t="s">
        <v>103</v>
      </c>
      <c r="D198" s="71">
        <v>26</v>
      </c>
      <c r="E198" s="69" t="s">
        <v>139</v>
      </c>
      <c r="F198" s="69" t="s">
        <v>105</v>
      </c>
      <c r="G198" s="69" t="s">
        <v>105</v>
      </c>
      <c r="H198" s="69" t="s">
        <v>131</v>
      </c>
      <c r="I198" s="69" t="s">
        <v>111</v>
      </c>
      <c r="J198" s="72">
        <v>400</v>
      </c>
    </row>
    <row r="199" spans="1:10" ht="15" customHeight="1">
      <c r="A199" s="70">
        <v>43889</v>
      </c>
      <c r="B199" s="69" t="s">
        <v>322</v>
      </c>
      <c r="C199" s="69" t="s">
        <v>116</v>
      </c>
      <c r="D199" s="71">
        <v>10</v>
      </c>
      <c r="E199" s="69" t="s">
        <v>109</v>
      </c>
      <c r="F199" s="69" t="s">
        <v>120</v>
      </c>
      <c r="G199" s="69" t="s">
        <v>142</v>
      </c>
      <c r="H199" s="69" t="s">
        <v>137</v>
      </c>
      <c r="I199" s="69" t="s">
        <v>111</v>
      </c>
      <c r="J199" s="72">
        <v>52</v>
      </c>
    </row>
    <row r="200" spans="1:10" ht="15" customHeight="1">
      <c r="A200" s="70">
        <v>43889</v>
      </c>
      <c r="B200" s="69" t="s">
        <v>323</v>
      </c>
      <c r="C200" s="69" t="s">
        <v>116</v>
      </c>
      <c r="D200" s="71">
        <v>0</v>
      </c>
      <c r="E200" s="69" t="s">
        <v>109</v>
      </c>
      <c r="F200" s="69" t="s">
        <v>120</v>
      </c>
      <c r="G200" s="69" t="s">
        <v>123</v>
      </c>
      <c r="H200" s="69" t="s">
        <v>137</v>
      </c>
      <c r="I200" s="69" t="s">
        <v>118</v>
      </c>
      <c r="J200" s="72">
        <v>90</v>
      </c>
    </row>
    <row r="201" spans="1:10" ht="15" customHeight="1">
      <c r="A201" s="70">
        <v>43889</v>
      </c>
      <c r="B201" s="69" t="s">
        <v>324</v>
      </c>
      <c r="C201" s="69" t="s">
        <v>116</v>
      </c>
      <c r="D201" s="71">
        <v>36</v>
      </c>
      <c r="E201" s="69" t="s">
        <v>113</v>
      </c>
      <c r="F201" s="69" t="s">
        <v>105</v>
      </c>
      <c r="G201" s="69" t="s">
        <v>105</v>
      </c>
      <c r="H201" s="69" t="s">
        <v>106</v>
      </c>
      <c r="I201" s="69" t="s">
        <v>118</v>
      </c>
      <c r="J201" s="72">
        <v>400</v>
      </c>
    </row>
    <row r="202" spans="1:10" ht="15" customHeight="1">
      <c r="A202" s="70">
        <v>43889</v>
      </c>
      <c r="B202" s="69" t="s">
        <v>325</v>
      </c>
      <c r="C202" s="69" t="s">
        <v>116</v>
      </c>
      <c r="D202" s="71">
        <v>22</v>
      </c>
      <c r="E202" s="69" t="s">
        <v>113</v>
      </c>
      <c r="F202" s="69" t="s">
        <v>105</v>
      </c>
      <c r="G202" s="69" t="s">
        <v>105</v>
      </c>
      <c r="H202" s="69" t="s">
        <v>106</v>
      </c>
      <c r="I202" s="69" t="s">
        <v>111</v>
      </c>
      <c r="J202" s="72">
        <v>400</v>
      </c>
    </row>
    <row r="203" spans="1:10" ht="15" customHeight="1">
      <c r="A203" s="70">
        <v>43889</v>
      </c>
      <c r="B203" s="69" t="s">
        <v>326</v>
      </c>
      <c r="C203" s="69" t="s">
        <v>103</v>
      </c>
      <c r="D203" s="71">
        <v>35</v>
      </c>
      <c r="E203" s="69" t="s">
        <v>109</v>
      </c>
      <c r="F203" s="69" t="s">
        <v>120</v>
      </c>
      <c r="G203" s="69" t="s">
        <v>123</v>
      </c>
      <c r="H203" s="69" t="s">
        <v>131</v>
      </c>
      <c r="I203" s="69" t="s">
        <v>118</v>
      </c>
      <c r="J203" s="72">
        <v>90</v>
      </c>
    </row>
    <row r="204" spans="1:10" ht="15" customHeight="1">
      <c r="A204" s="70">
        <v>43890</v>
      </c>
      <c r="B204" s="69" t="s">
        <v>327</v>
      </c>
      <c r="C204" s="69" t="s">
        <v>116</v>
      </c>
      <c r="D204" s="71">
        <v>0</v>
      </c>
      <c r="E204" s="69" t="s">
        <v>113</v>
      </c>
      <c r="F204" s="69" t="s">
        <v>105</v>
      </c>
      <c r="G204" s="69" t="s">
        <v>105</v>
      </c>
      <c r="H204" s="69" t="s">
        <v>106</v>
      </c>
      <c r="I204" s="69" t="s">
        <v>107</v>
      </c>
      <c r="J204" s="72">
        <v>400</v>
      </c>
    </row>
    <row r="205" spans="1:10" ht="15" customHeight="1">
      <c r="A205" s="70">
        <v>43890</v>
      </c>
      <c r="B205" s="69" t="s">
        <v>328</v>
      </c>
      <c r="C205" s="69" t="s">
        <v>116</v>
      </c>
      <c r="D205" s="71">
        <v>14</v>
      </c>
      <c r="E205" s="69" t="s">
        <v>104</v>
      </c>
      <c r="F205" s="69" t="s">
        <v>120</v>
      </c>
      <c r="G205" s="69" t="s">
        <v>123</v>
      </c>
      <c r="H205" s="69" t="s">
        <v>128</v>
      </c>
      <c r="I205" s="69" t="s">
        <v>114</v>
      </c>
      <c r="J205" s="72">
        <v>90</v>
      </c>
    </row>
    <row r="206" spans="1:10" ht="15" customHeight="1">
      <c r="A206" s="70">
        <v>43890</v>
      </c>
      <c r="B206" s="69" t="s">
        <v>329</v>
      </c>
      <c r="C206" s="69" t="s">
        <v>103</v>
      </c>
      <c r="D206" s="71">
        <v>43</v>
      </c>
      <c r="E206" s="69" t="s">
        <v>109</v>
      </c>
      <c r="F206" s="69" t="s">
        <v>105</v>
      </c>
      <c r="G206" s="69" t="s">
        <v>105</v>
      </c>
      <c r="H206" s="69" t="s">
        <v>137</v>
      </c>
      <c r="I206" s="69" t="s">
        <v>111</v>
      </c>
      <c r="J206" s="72">
        <v>400</v>
      </c>
    </row>
    <row r="207" spans="1:10" ht="15" customHeight="1">
      <c r="A207" s="70">
        <v>43890</v>
      </c>
      <c r="B207" s="69" t="s">
        <v>330</v>
      </c>
      <c r="C207" s="69" t="s">
        <v>103</v>
      </c>
      <c r="D207" s="71">
        <v>20</v>
      </c>
      <c r="E207" s="69" t="s">
        <v>139</v>
      </c>
      <c r="F207" s="69" t="s">
        <v>120</v>
      </c>
      <c r="G207" s="69" t="s">
        <v>125</v>
      </c>
      <c r="H207" s="69" t="s">
        <v>137</v>
      </c>
      <c r="I207" s="69" t="s">
        <v>107</v>
      </c>
      <c r="J207" s="72">
        <v>65</v>
      </c>
    </row>
    <row r="208" spans="1:10" ht="15" customHeight="1">
      <c r="A208" s="70">
        <v>43890</v>
      </c>
      <c r="B208" s="69" t="s">
        <v>331</v>
      </c>
      <c r="C208" s="69" t="s">
        <v>103</v>
      </c>
      <c r="D208" s="71">
        <v>50</v>
      </c>
      <c r="E208" s="69" t="s">
        <v>139</v>
      </c>
      <c r="F208" s="69" t="s">
        <v>105</v>
      </c>
      <c r="G208" s="69" t="s">
        <v>105</v>
      </c>
      <c r="H208" s="69" t="s">
        <v>128</v>
      </c>
      <c r="I208" s="69" t="s">
        <v>118</v>
      </c>
      <c r="J208" s="72">
        <v>400</v>
      </c>
    </row>
    <row r="209" spans="1:10" ht="15" customHeight="1">
      <c r="A209" s="70">
        <v>43891</v>
      </c>
      <c r="B209" s="69" t="s">
        <v>332</v>
      </c>
      <c r="C209" s="69" t="s">
        <v>103</v>
      </c>
      <c r="D209" s="71">
        <v>19</v>
      </c>
      <c r="E209" s="69" t="s">
        <v>139</v>
      </c>
      <c r="F209" s="69" t="s">
        <v>120</v>
      </c>
      <c r="G209" s="69" t="s">
        <v>121</v>
      </c>
      <c r="H209" s="69" t="s">
        <v>145</v>
      </c>
      <c r="I209" s="69" t="s">
        <v>129</v>
      </c>
      <c r="J209" s="72">
        <v>78</v>
      </c>
    </row>
    <row r="210" spans="1:10" ht="15" customHeight="1">
      <c r="A210" s="70">
        <v>43891</v>
      </c>
      <c r="B210" s="69" t="s">
        <v>333</v>
      </c>
      <c r="C210" s="69" t="s">
        <v>103</v>
      </c>
      <c r="D210" s="71">
        <v>35</v>
      </c>
      <c r="E210" s="69" t="s">
        <v>109</v>
      </c>
      <c r="F210" s="69" t="s">
        <v>120</v>
      </c>
      <c r="G210" s="69" t="s">
        <v>142</v>
      </c>
      <c r="H210" s="69" t="s">
        <v>117</v>
      </c>
      <c r="I210" s="69" t="s">
        <v>118</v>
      </c>
      <c r="J210" s="72">
        <v>52</v>
      </c>
    </row>
    <row r="211" spans="1:10" ht="15" customHeight="1">
      <c r="A211" s="70">
        <v>43892</v>
      </c>
      <c r="B211" s="69" t="s">
        <v>334</v>
      </c>
      <c r="C211" s="69" t="s">
        <v>103</v>
      </c>
      <c r="D211" s="71">
        <v>16</v>
      </c>
      <c r="E211" s="69" t="s">
        <v>139</v>
      </c>
      <c r="F211" s="69" t="s">
        <v>120</v>
      </c>
      <c r="G211" s="69" t="s">
        <v>125</v>
      </c>
      <c r="H211" s="69" t="s">
        <v>117</v>
      </c>
      <c r="I211" s="69" t="s">
        <v>114</v>
      </c>
      <c r="J211" s="72">
        <v>65</v>
      </c>
    </row>
    <row r="212" spans="1:10" ht="15" customHeight="1">
      <c r="A212" s="70">
        <v>43892</v>
      </c>
      <c r="B212" s="69" t="s">
        <v>335</v>
      </c>
      <c r="C212" s="69" t="s">
        <v>103</v>
      </c>
      <c r="D212" s="71">
        <v>33</v>
      </c>
      <c r="E212" s="69" t="s">
        <v>139</v>
      </c>
      <c r="F212" s="69" t="s">
        <v>105</v>
      </c>
      <c r="G212" s="69" t="s">
        <v>105</v>
      </c>
      <c r="H212" s="69" t="s">
        <v>110</v>
      </c>
      <c r="I212" s="69" t="s">
        <v>159</v>
      </c>
      <c r="J212" s="72">
        <v>400</v>
      </c>
    </row>
    <row r="213" spans="1:10" ht="15" customHeight="1">
      <c r="A213" s="70">
        <v>43893</v>
      </c>
      <c r="B213" s="69" t="s">
        <v>336</v>
      </c>
      <c r="C213" s="69" t="s">
        <v>116</v>
      </c>
      <c r="D213" s="71">
        <v>46</v>
      </c>
      <c r="E213" s="69" t="s">
        <v>104</v>
      </c>
      <c r="F213" s="69" t="s">
        <v>120</v>
      </c>
      <c r="G213" s="69" t="s">
        <v>142</v>
      </c>
      <c r="H213" s="69" t="s">
        <v>137</v>
      </c>
      <c r="I213" s="69" t="s">
        <v>107</v>
      </c>
      <c r="J213" s="72">
        <v>52</v>
      </c>
    </row>
    <row r="214" spans="1:10" ht="15" customHeight="1">
      <c r="A214" s="70">
        <v>43893</v>
      </c>
      <c r="B214" s="69" t="s">
        <v>337</v>
      </c>
      <c r="C214" s="69" t="s">
        <v>116</v>
      </c>
      <c r="D214" s="71">
        <v>61</v>
      </c>
      <c r="E214" s="69" t="s">
        <v>113</v>
      </c>
      <c r="F214" s="69" t="s">
        <v>105</v>
      </c>
      <c r="G214" s="69" t="s">
        <v>105</v>
      </c>
      <c r="H214" s="69" t="s">
        <v>106</v>
      </c>
      <c r="I214" s="69" t="s">
        <v>129</v>
      </c>
      <c r="J214" s="72">
        <v>400</v>
      </c>
    </row>
    <row r="215" spans="1:10" ht="15" customHeight="1">
      <c r="A215" s="70">
        <v>43893</v>
      </c>
      <c r="B215" s="69" t="s">
        <v>338</v>
      </c>
      <c r="C215" s="69" t="s">
        <v>116</v>
      </c>
      <c r="D215" s="71">
        <v>73</v>
      </c>
      <c r="E215" s="69" t="s">
        <v>104</v>
      </c>
      <c r="F215" s="69" t="s">
        <v>105</v>
      </c>
      <c r="G215" s="69" t="s">
        <v>105</v>
      </c>
      <c r="H215" s="69" t="s">
        <v>137</v>
      </c>
      <c r="I215" s="69" t="s">
        <v>111</v>
      </c>
      <c r="J215" s="72">
        <v>400</v>
      </c>
    </row>
    <row r="216" spans="1:10" ht="15" customHeight="1">
      <c r="A216" s="70">
        <v>43893</v>
      </c>
      <c r="B216" s="69" t="s">
        <v>339</v>
      </c>
      <c r="C216" s="69" t="s">
        <v>103</v>
      </c>
      <c r="D216" s="71">
        <v>19</v>
      </c>
      <c r="E216" s="69" t="s">
        <v>104</v>
      </c>
      <c r="F216" s="69" t="s">
        <v>105</v>
      </c>
      <c r="G216" s="69" t="s">
        <v>105</v>
      </c>
      <c r="H216" s="69" t="s">
        <v>145</v>
      </c>
      <c r="I216" s="69" t="s">
        <v>111</v>
      </c>
      <c r="J216" s="72">
        <v>400</v>
      </c>
    </row>
    <row r="217" spans="1:10" ht="15" customHeight="1">
      <c r="A217" s="70">
        <v>43894</v>
      </c>
      <c r="B217" s="69" t="s">
        <v>340</v>
      </c>
      <c r="C217" s="69" t="s">
        <v>116</v>
      </c>
      <c r="D217" s="71">
        <v>27</v>
      </c>
      <c r="E217" s="69" t="s">
        <v>113</v>
      </c>
      <c r="F217" s="69" t="s">
        <v>120</v>
      </c>
      <c r="G217" s="69" t="s">
        <v>121</v>
      </c>
      <c r="H217" s="69" t="s">
        <v>131</v>
      </c>
      <c r="I217" s="69" t="s">
        <v>118</v>
      </c>
      <c r="J217" s="72">
        <v>78</v>
      </c>
    </row>
    <row r="218" spans="1:10" ht="15" customHeight="1">
      <c r="A218" s="70">
        <v>43894</v>
      </c>
      <c r="B218" s="69" t="s">
        <v>341</v>
      </c>
      <c r="C218" s="69" t="s">
        <v>116</v>
      </c>
      <c r="D218" s="71">
        <v>66</v>
      </c>
      <c r="E218" s="69" t="s">
        <v>109</v>
      </c>
      <c r="F218" s="69" t="s">
        <v>120</v>
      </c>
      <c r="G218" s="69" t="s">
        <v>125</v>
      </c>
      <c r="H218" s="69" t="s">
        <v>117</v>
      </c>
      <c r="I218" s="69" t="s">
        <v>111</v>
      </c>
      <c r="J218" s="72">
        <v>65</v>
      </c>
    </row>
    <row r="219" spans="1:10" ht="15" customHeight="1">
      <c r="A219" s="70">
        <v>43895</v>
      </c>
      <c r="B219" s="69" t="s">
        <v>342</v>
      </c>
      <c r="C219" s="69" t="s">
        <v>116</v>
      </c>
      <c r="D219" s="71">
        <v>45</v>
      </c>
      <c r="E219" s="69" t="s">
        <v>109</v>
      </c>
      <c r="F219" s="69" t="s">
        <v>120</v>
      </c>
      <c r="G219" s="69" t="s">
        <v>142</v>
      </c>
      <c r="H219" s="69" t="s">
        <v>110</v>
      </c>
      <c r="I219" s="69" t="s">
        <v>107</v>
      </c>
      <c r="J219" s="72">
        <v>52</v>
      </c>
    </row>
    <row r="220" spans="1:10" ht="15" customHeight="1">
      <c r="A220" s="70">
        <v>43895</v>
      </c>
      <c r="B220" s="69" t="s">
        <v>343</v>
      </c>
      <c r="C220" s="69" t="s">
        <v>116</v>
      </c>
      <c r="D220" s="71">
        <v>7</v>
      </c>
      <c r="E220" s="69" t="s">
        <v>104</v>
      </c>
      <c r="F220" s="69" t="s">
        <v>120</v>
      </c>
      <c r="G220" s="69" t="s">
        <v>142</v>
      </c>
      <c r="H220" s="69" t="s">
        <v>106</v>
      </c>
      <c r="I220" s="69" t="s">
        <v>107</v>
      </c>
      <c r="J220" s="72">
        <v>52</v>
      </c>
    </row>
    <row r="221" spans="1:10" ht="15" customHeight="1">
      <c r="A221" s="70">
        <v>43895</v>
      </c>
      <c r="B221" s="69" t="s">
        <v>344</v>
      </c>
      <c r="C221" s="69" t="s">
        <v>116</v>
      </c>
      <c r="D221" s="71">
        <v>58</v>
      </c>
      <c r="E221" s="69" t="s">
        <v>139</v>
      </c>
      <c r="F221" s="69" t="s">
        <v>105</v>
      </c>
      <c r="G221" s="69" t="s">
        <v>105</v>
      </c>
      <c r="H221" s="69" t="s">
        <v>106</v>
      </c>
      <c r="I221" s="69" t="s">
        <v>107</v>
      </c>
      <c r="J221" s="72">
        <v>400</v>
      </c>
    </row>
    <row r="222" spans="1:10" ht="15" customHeight="1">
      <c r="A222" s="70">
        <v>43895</v>
      </c>
      <c r="B222" s="69" t="s">
        <v>345</v>
      </c>
      <c r="C222" s="69" t="s">
        <v>103</v>
      </c>
      <c r="D222" s="71">
        <v>34</v>
      </c>
      <c r="E222" s="69" t="s">
        <v>104</v>
      </c>
      <c r="F222" s="69" t="s">
        <v>105</v>
      </c>
      <c r="G222" s="69" t="s">
        <v>105</v>
      </c>
      <c r="H222" s="69" t="s">
        <v>128</v>
      </c>
      <c r="I222" s="69" t="s">
        <v>111</v>
      </c>
      <c r="J222" s="72">
        <v>400</v>
      </c>
    </row>
    <row r="223" spans="1:10" ht="15" customHeight="1">
      <c r="A223" s="70">
        <v>43896</v>
      </c>
      <c r="B223" s="69" t="s">
        <v>346</v>
      </c>
      <c r="C223" s="69" t="s">
        <v>116</v>
      </c>
      <c r="D223" s="71">
        <v>1</v>
      </c>
      <c r="E223" s="69" t="s">
        <v>113</v>
      </c>
      <c r="F223" s="69" t="s">
        <v>105</v>
      </c>
      <c r="G223" s="69" t="s">
        <v>105</v>
      </c>
      <c r="H223" s="69" t="s">
        <v>106</v>
      </c>
      <c r="I223" s="69" t="s">
        <v>118</v>
      </c>
      <c r="J223" s="72">
        <v>400</v>
      </c>
    </row>
    <row r="224" spans="1:10" ht="15" customHeight="1">
      <c r="A224" s="70">
        <v>43897</v>
      </c>
      <c r="B224" s="69" t="s">
        <v>347</v>
      </c>
      <c r="C224" s="69" t="s">
        <v>103</v>
      </c>
      <c r="D224" s="71">
        <v>12</v>
      </c>
      <c r="E224" s="69" t="s">
        <v>109</v>
      </c>
      <c r="F224" s="69" t="s">
        <v>105</v>
      </c>
      <c r="G224" s="69" t="s">
        <v>105</v>
      </c>
      <c r="H224" s="69" t="s">
        <v>137</v>
      </c>
      <c r="I224" s="69" t="s">
        <v>114</v>
      </c>
      <c r="J224" s="72">
        <v>400</v>
      </c>
    </row>
    <row r="225" spans="1:10" ht="15" customHeight="1">
      <c r="A225" s="70">
        <v>43897</v>
      </c>
      <c r="B225" s="69" t="s">
        <v>348</v>
      </c>
      <c r="C225" s="69" t="s">
        <v>103</v>
      </c>
      <c r="D225" s="71">
        <v>34</v>
      </c>
      <c r="E225" s="69" t="s">
        <v>109</v>
      </c>
      <c r="F225" s="69" t="s">
        <v>120</v>
      </c>
      <c r="G225" s="69" t="s">
        <v>121</v>
      </c>
      <c r="H225" s="69" t="s">
        <v>110</v>
      </c>
      <c r="I225" s="69" t="s">
        <v>111</v>
      </c>
      <c r="J225" s="72">
        <v>78</v>
      </c>
    </row>
    <row r="226" spans="1:10" ht="15" customHeight="1">
      <c r="A226" s="70">
        <v>43897</v>
      </c>
      <c r="B226" s="69" t="s">
        <v>349</v>
      </c>
      <c r="C226" s="69" t="s">
        <v>116</v>
      </c>
      <c r="D226" s="71">
        <v>41</v>
      </c>
      <c r="E226" s="69" t="s">
        <v>139</v>
      </c>
      <c r="F226" s="69" t="s">
        <v>105</v>
      </c>
      <c r="G226" s="69" t="s">
        <v>105</v>
      </c>
      <c r="H226" s="69" t="s">
        <v>128</v>
      </c>
      <c r="I226" s="69" t="s">
        <v>118</v>
      </c>
      <c r="J226" s="72">
        <v>400</v>
      </c>
    </row>
    <row r="227" spans="1:10" ht="15" customHeight="1">
      <c r="A227" s="70">
        <v>43898</v>
      </c>
      <c r="B227" s="69" t="s">
        <v>350</v>
      </c>
      <c r="C227" s="69" t="s">
        <v>116</v>
      </c>
      <c r="D227" s="71">
        <v>60</v>
      </c>
      <c r="E227" s="69" t="s">
        <v>113</v>
      </c>
      <c r="F227" s="69" t="s">
        <v>120</v>
      </c>
      <c r="G227" s="69" t="s">
        <v>125</v>
      </c>
      <c r="H227" s="69" t="s">
        <v>145</v>
      </c>
      <c r="I227" s="69" t="s">
        <v>118</v>
      </c>
      <c r="J227" s="72">
        <v>65</v>
      </c>
    </row>
    <row r="228" spans="1:10" ht="15" customHeight="1">
      <c r="A228" s="70">
        <v>43898</v>
      </c>
      <c r="B228" s="69" t="s">
        <v>351</v>
      </c>
      <c r="C228" s="69" t="s">
        <v>116</v>
      </c>
      <c r="D228" s="71">
        <v>34</v>
      </c>
      <c r="E228" s="69" t="s">
        <v>109</v>
      </c>
      <c r="F228" s="69" t="s">
        <v>105</v>
      </c>
      <c r="G228" s="69" t="s">
        <v>105</v>
      </c>
      <c r="H228" s="69" t="s">
        <v>131</v>
      </c>
      <c r="I228" s="69" t="s">
        <v>118</v>
      </c>
      <c r="J228" s="72">
        <v>400</v>
      </c>
    </row>
    <row r="229" spans="1:10" ht="15" customHeight="1">
      <c r="A229" s="70">
        <v>43898</v>
      </c>
      <c r="B229" s="69" t="s">
        <v>352</v>
      </c>
      <c r="C229" s="69" t="s">
        <v>103</v>
      </c>
      <c r="D229" s="71">
        <v>35</v>
      </c>
      <c r="E229" s="69" t="s">
        <v>104</v>
      </c>
      <c r="F229" s="69" t="s">
        <v>105</v>
      </c>
      <c r="G229" s="69" t="s">
        <v>105</v>
      </c>
      <c r="H229" s="69" t="s">
        <v>145</v>
      </c>
      <c r="I229" s="69" t="s">
        <v>107</v>
      </c>
      <c r="J229" s="72">
        <v>400</v>
      </c>
    </row>
    <row r="230" spans="1:10" ht="15" customHeight="1">
      <c r="A230" s="70">
        <v>43898</v>
      </c>
      <c r="B230" s="69" t="s">
        <v>353</v>
      </c>
      <c r="C230" s="69" t="s">
        <v>103</v>
      </c>
      <c r="D230" s="71">
        <v>32</v>
      </c>
      <c r="E230" s="69" t="s">
        <v>113</v>
      </c>
      <c r="F230" s="69" t="s">
        <v>120</v>
      </c>
      <c r="G230" s="69" t="s">
        <v>121</v>
      </c>
      <c r="H230" s="69" t="s">
        <v>145</v>
      </c>
      <c r="I230" s="69" t="s">
        <v>159</v>
      </c>
      <c r="J230" s="72">
        <v>78</v>
      </c>
    </row>
    <row r="231" spans="1:10" ht="15" customHeight="1">
      <c r="A231" s="70">
        <v>43898</v>
      </c>
      <c r="B231" s="69" t="s">
        <v>354</v>
      </c>
      <c r="C231" s="69" t="s">
        <v>116</v>
      </c>
      <c r="D231" s="71">
        <v>72</v>
      </c>
      <c r="E231" s="69" t="s">
        <v>139</v>
      </c>
      <c r="F231" s="69" t="s">
        <v>105</v>
      </c>
      <c r="G231" s="69" t="s">
        <v>105</v>
      </c>
      <c r="H231" s="69" t="s">
        <v>137</v>
      </c>
      <c r="I231" s="69" t="s">
        <v>118</v>
      </c>
      <c r="J231" s="72">
        <v>400</v>
      </c>
    </row>
    <row r="232" spans="1:10" ht="15" customHeight="1">
      <c r="A232" s="70">
        <v>43898</v>
      </c>
      <c r="B232" s="69" t="s">
        <v>355</v>
      </c>
      <c r="C232" s="69" t="s">
        <v>116</v>
      </c>
      <c r="D232" s="71">
        <v>51</v>
      </c>
      <c r="E232" s="69" t="s">
        <v>113</v>
      </c>
      <c r="F232" s="69" t="s">
        <v>120</v>
      </c>
      <c r="G232" s="69" t="s">
        <v>121</v>
      </c>
      <c r="H232" s="69" t="s">
        <v>106</v>
      </c>
      <c r="I232" s="69" t="s">
        <v>107</v>
      </c>
      <c r="J232" s="72">
        <v>78</v>
      </c>
    </row>
    <row r="233" spans="1:10" ht="15" customHeight="1">
      <c r="A233" s="70">
        <v>43898</v>
      </c>
      <c r="B233" s="69" t="s">
        <v>223</v>
      </c>
      <c r="C233" s="69" t="s">
        <v>116</v>
      </c>
      <c r="D233" s="71">
        <v>20</v>
      </c>
      <c r="E233" s="69" t="s">
        <v>104</v>
      </c>
      <c r="F233" s="69" t="s">
        <v>105</v>
      </c>
      <c r="G233" s="69" t="s">
        <v>105</v>
      </c>
      <c r="H233" s="69" t="s">
        <v>145</v>
      </c>
      <c r="I233" s="69" t="s">
        <v>114</v>
      </c>
      <c r="J233" s="72">
        <v>400</v>
      </c>
    </row>
    <row r="234" spans="1:10" ht="15" customHeight="1">
      <c r="A234" s="70">
        <v>43899</v>
      </c>
      <c r="B234" s="69" t="s">
        <v>356</v>
      </c>
      <c r="C234" s="69" t="s">
        <v>116</v>
      </c>
      <c r="D234" s="71">
        <v>56</v>
      </c>
      <c r="E234" s="69" t="s">
        <v>139</v>
      </c>
      <c r="F234" s="69" t="s">
        <v>105</v>
      </c>
      <c r="G234" s="69" t="s">
        <v>105</v>
      </c>
      <c r="H234" s="69" t="s">
        <v>145</v>
      </c>
      <c r="I234" s="69" t="s">
        <v>111</v>
      </c>
      <c r="J234" s="72">
        <v>400</v>
      </c>
    </row>
    <row r="235" spans="1:10" ht="15" customHeight="1">
      <c r="A235" s="70">
        <v>43899</v>
      </c>
      <c r="B235" s="69" t="s">
        <v>357</v>
      </c>
      <c r="C235" s="69" t="s">
        <v>116</v>
      </c>
      <c r="D235" s="71">
        <v>37</v>
      </c>
      <c r="E235" s="69" t="s">
        <v>109</v>
      </c>
      <c r="F235" s="69" t="s">
        <v>120</v>
      </c>
      <c r="G235" s="69" t="s">
        <v>121</v>
      </c>
      <c r="H235" s="69" t="s">
        <v>137</v>
      </c>
      <c r="I235" s="69" t="s">
        <v>107</v>
      </c>
      <c r="J235" s="72">
        <v>78</v>
      </c>
    </row>
    <row r="236" spans="1:10" ht="15" customHeight="1">
      <c r="A236" s="70">
        <v>43899</v>
      </c>
      <c r="B236" s="69" t="s">
        <v>358</v>
      </c>
      <c r="C236" s="69" t="s">
        <v>116</v>
      </c>
      <c r="D236" s="71">
        <v>35</v>
      </c>
      <c r="E236" s="69" t="s">
        <v>113</v>
      </c>
      <c r="F236" s="69" t="s">
        <v>105</v>
      </c>
      <c r="G236" s="69" t="s">
        <v>105</v>
      </c>
      <c r="H236" s="69" t="s">
        <v>137</v>
      </c>
      <c r="I236" s="69" t="s">
        <v>111</v>
      </c>
      <c r="J236" s="72">
        <v>400</v>
      </c>
    </row>
    <row r="237" spans="1:10" ht="15" customHeight="1">
      <c r="A237" s="70">
        <v>43900</v>
      </c>
      <c r="B237" s="69" t="s">
        <v>359</v>
      </c>
      <c r="C237" s="69" t="s">
        <v>103</v>
      </c>
      <c r="D237" s="71">
        <v>71</v>
      </c>
      <c r="E237" s="69" t="s">
        <v>139</v>
      </c>
      <c r="F237" s="69" t="s">
        <v>105</v>
      </c>
      <c r="G237" s="69" t="s">
        <v>105</v>
      </c>
      <c r="H237" s="69" t="s">
        <v>117</v>
      </c>
      <c r="I237" s="69" t="s">
        <v>118</v>
      </c>
      <c r="J237" s="72">
        <v>400</v>
      </c>
    </row>
    <row r="238" spans="1:10" ht="15" customHeight="1">
      <c r="A238" s="70">
        <v>43900</v>
      </c>
      <c r="B238" s="69" t="s">
        <v>360</v>
      </c>
      <c r="C238" s="69" t="s">
        <v>103</v>
      </c>
      <c r="D238" s="71">
        <v>33</v>
      </c>
      <c r="E238" s="69" t="s">
        <v>104</v>
      </c>
      <c r="F238" s="69" t="s">
        <v>105</v>
      </c>
      <c r="G238" s="69" t="s">
        <v>105</v>
      </c>
      <c r="H238" s="69" t="s">
        <v>106</v>
      </c>
      <c r="I238" s="69" t="s">
        <v>114</v>
      </c>
      <c r="J238" s="72">
        <v>400</v>
      </c>
    </row>
    <row r="239" spans="1:10" ht="15" customHeight="1">
      <c r="A239" s="70">
        <v>43900</v>
      </c>
      <c r="B239" s="69" t="s">
        <v>361</v>
      </c>
      <c r="C239" s="69" t="s">
        <v>116</v>
      </c>
      <c r="D239" s="71">
        <v>31</v>
      </c>
      <c r="E239" s="69" t="s">
        <v>104</v>
      </c>
      <c r="F239" s="69" t="s">
        <v>105</v>
      </c>
      <c r="G239" s="69" t="s">
        <v>105</v>
      </c>
      <c r="H239" s="69" t="s">
        <v>117</v>
      </c>
      <c r="I239" s="69" t="s">
        <v>118</v>
      </c>
      <c r="J239" s="72">
        <v>400</v>
      </c>
    </row>
    <row r="240" spans="1:10" ht="15" customHeight="1">
      <c r="A240" s="70">
        <v>43900</v>
      </c>
      <c r="B240" s="69" t="s">
        <v>362</v>
      </c>
      <c r="C240" s="69" t="s">
        <v>116</v>
      </c>
      <c r="D240" s="71">
        <v>60</v>
      </c>
      <c r="E240" s="69" t="s">
        <v>113</v>
      </c>
      <c r="F240" s="69" t="s">
        <v>105</v>
      </c>
      <c r="G240" s="69" t="s">
        <v>105</v>
      </c>
      <c r="H240" s="69" t="s">
        <v>137</v>
      </c>
      <c r="I240" s="69" t="s">
        <v>111</v>
      </c>
      <c r="J240" s="72">
        <v>400</v>
      </c>
    </row>
    <row r="241" spans="1:10" ht="15" customHeight="1">
      <c r="A241" s="70">
        <v>43900</v>
      </c>
      <c r="B241" s="69" t="s">
        <v>363</v>
      </c>
      <c r="C241" s="69" t="s">
        <v>116</v>
      </c>
      <c r="D241" s="71">
        <v>34</v>
      </c>
      <c r="E241" s="69" t="s">
        <v>113</v>
      </c>
      <c r="F241" s="69" t="s">
        <v>105</v>
      </c>
      <c r="G241" s="69" t="s">
        <v>105</v>
      </c>
      <c r="H241" s="69" t="s">
        <v>110</v>
      </c>
      <c r="I241" s="69" t="s">
        <v>111</v>
      </c>
      <c r="J241" s="72">
        <v>400</v>
      </c>
    </row>
    <row r="242" spans="1:10" ht="15" customHeight="1">
      <c r="A242" s="70">
        <v>43901</v>
      </c>
      <c r="B242" s="69" t="s">
        <v>364</v>
      </c>
      <c r="C242" s="69" t="s">
        <v>116</v>
      </c>
      <c r="D242" s="71">
        <v>46</v>
      </c>
      <c r="E242" s="69" t="s">
        <v>113</v>
      </c>
      <c r="F242" s="69" t="s">
        <v>105</v>
      </c>
      <c r="G242" s="69" t="s">
        <v>105</v>
      </c>
      <c r="H242" s="69" t="s">
        <v>117</v>
      </c>
      <c r="I242" s="69" t="s">
        <v>159</v>
      </c>
      <c r="J242" s="72">
        <v>400</v>
      </c>
    </row>
    <row r="243" spans="1:10" ht="15" customHeight="1">
      <c r="A243" s="70">
        <v>43901</v>
      </c>
      <c r="B243" s="69" t="s">
        <v>365</v>
      </c>
      <c r="C243" s="69" t="s">
        <v>103</v>
      </c>
      <c r="D243" s="71">
        <v>34</v>
      </c>
      <c r="E243" s="69" t="s">
        <v>104</v>
      </c>
      <c r="F243" s="69" t="s">
        <v>120</v>
      </c>
      <c r="G243" s="69" t="s">
        <v>125</v>
      </c>
      <c r="H243" s="69" t="s">
        <v>131</v>
      </c>
      <c r="I243" s="69" t="s">
        <v>118</v>
      </c>
      <c r="J243" s="72">
        <v>65</v>
      </c>
    </row>
    <row r="244" spans="1:10" ht="15" customHeight="1">
      <c r="A244" s="70">
        <v>43901</v>
      </c>
      <c r="B244" s="69" t="s">
        <v>366</v>
      </c>
      <c r="C244" s="69" t="s">
        <v>116</v>
      </c>
      <c r="D244" s="71">
        <v>11</v>
      </c>
      <c r="E244" s="69" t="s">
        <v>139</v>
      </c>
      <c r="F244" s="69" t="s">
        <v>120</v>
      </c>
      <c r="G244" s="69" t="s">
        <v>121</v>
      </c>
      <c r="H244" s="69" t="s">
        <v>110</v>
      </c>
      <c r="I244" s="69" t="s">
        <v>114</v>
      </c>
      <c r="J244" s="72">
        <v>78</v>
      </c>
    </row>
    <row r="245" spans="1:10" ht="15" customHeight="1">
      <c r="A245" s="70">
        <v>43902</v>
      </c>
      <c r="B245" s="69" t="s">
        <v>367</v>
      </c>
      <c r="C245" s="69" t="s">
        <v>116</v>
      </c>
      <c r="D245" s="71">
        <v>74</v>
      </c>
      <c r="E245" s="69" t="s">
        <v>104</v>
      </c>
      <c r="F245" s="69" t="s">
        <v>105</v>
      </c>
      <c r="G245" s="69" t="s">
        <v>105</v>
      </c>
      <c r="H245" s="69" t="s">
        <v>145</v>
      </c>
      <c r="I245" s="69" t="s">
        <v>129</v>
      </c>
      <c r="J245" s="72">
        <v>400</v>
      </c>
    </row>
    <row r="246" spans="1:10" ht="15" customHeight="1">
      <c r="A246" s="70">
        <v>43902</v>
      </c>
      <c r="B246" s="69" t="s">
        <v>368</v>
      </c>
      <c r="C246" s="69" t="s">
        <v>116</v>
      </c>
      <c r="D246" s="71">
        <v>43</v>
      </c>
      <c r="E246" s="69" t="s">
        <v>139</v>
      </c>
      <c r="F246" s="69" t="s">
        <v>120</v>
      </c>
      <c r="G246" s="69" t="s">
        <v>125</v>
      </c>
      <c r="H246" s="69" t="s">
        <v>106</v>
      </c>
      <c r="I246" s="69" t="s">
        <v>107</v>
      </c>
      <c r="J246" s="72">
        <v>65</v>
      </c>
    </row>
    <row r="247" spans="1:10" ht="15" customHeight="1">
      <c r="A247" s="70">
        <v>43902</v>
      </c>
      <c r="B247" s="69" t="s">
        <v>369</v>
      </c>
      <c r="C247" s="69" t="s">
        <v>116</v>
      </c>
      <c r="D247" s="71">
        <v>44</v>
      </c>
      <c r="E247" s="69" t="s">
        <v>139</v>
      </c>
      <c r="F247" s="69" t="s">
        <v>120</v>
      </c>
      <c r="G247" s="69" t="s">
        <v>121</v>
      </c>
      <c r="H247" s="69" t="s">
        <v>117</v>
      </c>
      <c r="I247" s="69" t="s">
        <v>118</v>
      </c>
      <c r="J247" s="72">
        <v>78</v>
      </c>
    </row>
    <row r="248" spans="1:10" ht="15" customHeight="1">
      <c r="A248" s="70">
        <v>43903</v>
      </c>
      <c r="B248" s="69" t="s">
        <v>370</v>
      </c>
      <c r="C248" s="69" t="s">
        <v>116</v>
      </c>
      <c r="D248" s="71">
        <v>40</v>
      </c>
      <c r="E248" s="69" t="s">
        <v>104</v>
      </c>
      <c r="F248" s="69" t="s">
        <v>105</v>
      </c>
      <c r="G248" s="69" t="s">
        <v>105</v>
      </c>
      <c r="H248" s="69" t="s">
        <v>145</v>
      </c>
      <c r="I248" s="69" t="s">
        <v>118</v>
      </c>
      <c r="J248" s="72">
        <v>400</v>
      </c>
    </row>
    <row r="249" spans="1:10" ht="15" customHeight="1">
      <c r="A249" s="70">
        <v>43903</v>
      </c>
      <c r="B249" s="69" t="s">
        <v>371</v>
      </c>
      <c r="C249" s="69" t="s">
        <v>116</v>
      </c>
      <c r="D249" s="71">
        <v>70</v>
      </c>
      <c r="E249" s="69" t="s">
        <v>104</v>
      </c>
      <c r="F249" s="69" t="s">
        <v>105</v>
      </c>
      <c r="G249" s="69" t="s">
        <v>105</v>
      </c>
      <c r="H249" s="69" t="s">
        <v>137</v>
      </c>
      <c r="I249" s="69" t="s">
        <v>114</v>
      </c>
      <c r="J249" s="72">
        <v>400</v>
      </c>
    </row>
    <row r="250" spans="1:10" ht="15" customHeight="1">
      <c r="A250" s="70">
        <v>43903</v>
      </c>
      <c r="B250" s="69" t="s">
        <v>372</v>
      </c>
      <c r="C250" s="69" t="s">
        <v>116</v>
      </c>
      <c r="D250" s="71">
        <v>36</v>
      </c>
      <c r="E250" s="69" t="s">
        <v>109</v>
      </c>
      <c r="F250" s="69" t="s">
        <v>105</v>
      </c>
      <c r="G250" s="69" t="s">
        <v>105</v>
      </c>
      <c r="H250" s="69" t="s">
        <v>106</v>
      </c>
      <c r="I250" s="69" t="s">
        <v>114</v>
      </c>
      <c r="J250" s="72">
        <v>400</v>
      </c>
    </row>
    <row r="251" spans="1:10" ht="15" customHeight="1">
      <c r="A251" s="70">
        <v>43903</v>
      </c>
      <c r="B251" s="69" t="s">
        <v>373</v>
      </c>
      <c r="C251" s="69" t="s">
        <v>116</v>
      </c>
      <c r="D251" s="71">
        <v>51</v>
      </c>
      <c r="E251" s="69" t="s">
        <v>104</v>
      </c>
      <c r="F251" s="69" t="s">
        <v>120</v>
      </c>
      <c r="G251" s="69" t="s">
        <v>123</v>
      </c>
      <c r="H251" s="69" t="s">
        <v>110</v>
      </c>
      <c r="I251" s="69" t="s">
        <v>118</v>
      </c>
      <c r="J251" s="72">
        <v>90</v>
      </c>
    </row>
    <row r="252" spans="1:10" ht="15" customHeight="1">
      <c r="A252" s="70">
        <v>43904</v>
      </c>
      <c r="B252" s="69" t="s">
        <v>236</v>
      </c>
      <c r="C252" s="69" t="s">
        <v>103</v>
      </c>
      <c r="D252" s="71">
        <v>45</v>
      </c>
      <c r="E252" s="69" t="s">
        <v>113</v>
      </c>
      <c r="F252" s="69" t="s">
        <v>120</v>
      </c>
      <c r="G252" s="69" t="s">
        <v>121</v>
      </c>
      <c r="H252" s="69" t="s">
        <v>110</v>
      </c>
      <c r="I252" s="69" t="s">
        <v>111</v>
      </c>
      <c r="J252" s="72">
        <v>78</v>
      </c>
    </row>
    <row r="253" spans="1:10" ht="15" customHeight="1">
      <c r="A253" s="70">
        <v>43904</v>
      </c>
      <c r="B253" s="69" t="s">
        <v>374</v>
      </c>
      <c r="C253" s="69" t="s">
        <v>116</v>
      </c>
      <c r="D253" s="71">
        <v>67</v>
      </c>
      <c r="E253" s="69" t="s">
        <v>109</v>
      </c>
      <c r="F253" s="69" t="s">
        <v>120</v>
      </c>
      <c r="G253" s="69" t="s">
        <v>121</v>
      </c>
      <c r="H253" s="69" t="s">
        <v>131</v>
      </c>
      <c r="I253" s="69" t="s">
        <v>114</v>
      </c>
      <c r="J253" s="72">
        <v>78</v>
      </c>
    </row>
    <row r="254" spans="1:10" ht="15" customHeight="1">
      <c r="A254" s="70">
        <v>43904</v>
      </c>
      <c r="B254" s="69" t="s">
        <v>375</v>
      </c>
      <c r="C254" s="69" t="s">
        <v>116</v>
      </c>
      <c r="D254" s="71">
        <v>70</v>
      </c>
      <c r="E254" s="69" t="s">
        <v>109</v>
      </c>
      <c r="F254" s="69" t="s">
        <v>120</v>
      </c>
      <c r="G254" s="69" t="s">
        <v>123</v>
      </c>
      <c r="H254" s="69" t="s">
        <v>106</v>
      </c>
      <c r="I254" s="69" t="s">
        <v>107</v>
      </c>
      <c r="J254" s="72">
        <v>90</v>
      </c>
    </row>
    <row r="255" spans="1:10" ht="15" customHeight="1">
      <c r="A255" s="70">
        <v>43905</v>
      </c>
      <c r="B255" s="69" t="s">
        <v>376</v>
      </c>
      <c r="C255" s="69" t="s">
        <v>103</v>
      </c>
      <c r="D255" s="71">
        <v>53</v>
      </c>
      <c r="E255" s="69" t="s">
        <v>104</v>
      </c>
      <c r="F255" s="69" t="s">
        <v>105</v>
      </c>
      <c r="G255" s="69" t="s">
        <v>105</v>
      </c>
      <c r="H255" s="69" t="s">
        <v>117</v>
      </c>
      <c r="I255" s="69" t="s">
        <v>114</v>
      </c>
      <c r="J255" s="72">
        <v>400</v>
      </c>
    </row>
    <row r="256" spans="1:10" ht="15" customHeight="1">
      <c r="A256" s="70">
        <v>43905</v>
      </c>
      <c r="B256" s="69" t="s">
        <v>377</v>
      </c>
      <c r="C256" s="69" t="s">
        <v>103</v>
      </c>
      <c r="D256" s="71">
        <v>35</v>
      </c>
      <c r="E256" s="69" t="s">
        <v>139</v>
      </c>
      <c r="F256" s="69" t="s">
        <v>105</v>
      </c>
      <c r="G256" s="69" t="s">
        <v>105</v>
      </c>
      <c r="H256" s="69" t="s">
        <v>131</v>
      </c>
      <c r="I256" s="69" t="s">
        <v>159</v>
      </c>
      <c r="J256" s="72">
        <v>400</v>
      </c>
    </row>
    <row r="257" spans="1:10" ht="15" customHeight="1">
      <c r="A257" s="70">
        <v>43905</v>
      </c>
      <c r="B257" s="69" t="s">
        <v>378</v>
      </c>
      <c r="C257" s="69" t="s">
        <v>103</v>
      </c>
      <c r="D257" s="71">
        <v>37</v>
      </c>
      <c r="E257" s="69" t="s">
        <v>113</v>
      </c>
      <c r="F257" s="69" t="s">
        <v>120</v>
      </c>
      <c r="G257" s="69" t="s">
        <v>121</v>
      </c>
      <c r="H257" s="69" t="s">
        <v>137</v>
      </c>
      <c r="I257" s="69" t="s">
        <v>159</v>
      </c>
      <c r="J257" s="72">
        <v>78</v>
      </c>
    </row>
    <row r="258" spans="1:10" ht="15" customHeight="1">
      <c r="A258" s="70">
        <v>43906</v>
      </c>
      <c r="B258" s="69" t="s">
        <v>379</v>
      </c>
      <c r="C258" s="69" t="s">
        <v>116</v>
      </c>
      <c r="D258" s="71">
        <v>33</v>
      </c>
      <c r="E258" s="69" t="s">
        <v>104</v>
      </c>
      <c r="F258" s="69" t="s">
        <v>105</v>
      </c>
      <c r="G258" s="69" t="s">
        <v>105</v>
      </c>
      <c r="H258" s="69" t="s">
        <v>106</v>
      </c>
      <c r="I258" s="69" t="s">
        <v>114</v>
      </c>
      <c r="J258" s="72">
        <v>400</v>
      </c>
    </row>
    <row r="259" spans="1:10" ht="15" customHeight="1">
      <c r="A259" s="70">
        <v>43906</v>
      </c>
      <c r="B259" s="69" t="s">
        <v>380</v>
      </c>
      <c r="C259" s="69" t="s">
        <v>116</v>
      </c>
      <c r="D259" s="71">
        <v>29</v>
      </c>
      <c r="E259" s="69" t="s">
        <v>113</v>
      </c>
      <c r="F259" s="69" t="s">
        <v>105</v>
      </c>
      <c r="G259" s="69" t="s">
        <v>105</v>
      </c>
      <c r="H259" s="69" t="s">
        <v>137</v>
      </c>
      <c r="I259" s="69" t="s">
        <v>114</v>
      </c>
      <c r="J259" s="72">
        <v>400</v>
      </c>
    </row>
    <row r="260" spans="1:10" ht="15" customHeight="1">
      <c r="A260" s="70">
        <v>43906</v>
      </c>
      <c r="B260" s="69" t="s">
        <v>381</v>
      </c>
      <c r="C260" s="69" t="s">
        <v>103</v>
      </c>
      <c r="D260" s="71">
        <v>64</v>
      </c>
      <c r="E260" s="69" t="s">
        <v>139</v>
      </c>
      <c r="F260" s="69" t="s">
        <v>120</v>
      </c>
      <c r="G260" s="69" t="s">
        <v>125</v>
      </c>
      <c r="H260" s="69" t="s">
        <v>110</v>
      </c>
      <c r="I260" s="69" t="s">
        <v>107</v>
      </c>
      <c r="J260" s="72">
        <v>65</v>
      </c>
    </row>
    <row r="261" spans="1:10" ht="15" customHeight="1">
      <c r="A261" s="70">
        <v>43906</v>
      </c>
      <c r="B261" s="69" t="s">
        <v>382</v>
      </c>
      <c r="C261" s="69" t="s">
        <v>103</v>
      </c>
      <c r="D261" s="71">
        <v>38</v>
      </c>
      <c r="E261" s="69" t="s">
        <v>139</v>
      </c>
      <c r="F261" s="69" t="s">
        <v>105</v>
      </c>
      <c r="G261" s="69" t="s">
        <v>105</v>
      </c>
      <c r="H261" s="69" t="s">
        <v>106</v>
      </c>
      <c r="I261" s="69" t="s">
        <v>111</v>
      </c>
      <c r="J261" s="72">
        <v>400</v>
      </c>
    </row>
    <row r="262" spans="1:10" ht="15" customHeight="1">
      <c r="A262" s="70">
        <v>43906</v>
      </c>
      <c r="B262" s="69" t="s">
        <v>383</v>
      </c>
      <c r="C262" s="69" t="s">
        <v>116</v>
      </c>
      <c r="D262" s="71">
        <v>37</v>
      </c>
      <c r="E262" s="69" t="s">
        <v>113</v>
      </c>
      <c r="F262" s="69" t="s">
        <v>120</v>
      </c>
      <c r="G262" s="69" t="s">
        <v>121</v>
      </c>
      <c r="H262" s="69" t="s">
        <v>131</v>
      </c>
      <c r="I262" s="69" t="s">
        <v>129</v>
      </c>
      <c r="J262" s="72">
        <v>78</v>
      </c>
    </row>
    <row r="263" spans="1:10" ht="15" customHeight="1">
      <c r="A263" s="70">
        <v>43906</v>
      </c>
      <c r="B263" s="69" t="s">
        <v>384</v>
      </c>
      <c r="C263" s="69" t="s">
        <v>103</v>
      </c>
      <c r="D263" s="71">
        <v>4</v>
      </c>
      <c r="E263" s="69" t="s">
        <v>139</v>
      </c>
      <c r="F263" s="69" t="s">
        <v>105</v>
      </c>
      <c r="G263" s="69" t="s">
        <v>105</v>
      </c>
      <c r="H263" s="69" t="s">
        <v>117</v>
      </c>
      <c r="I263" s="69" t="s">
        <v>159</v>
      </c>
      <c r="J263" s="72">
        <v>400</v>
      </c>
    </row>
    <row r="264" spans="1:10" ht="15" customHeight="1">
      <c r="A264" s="70">
        <v>43906</v>
      </c>
      <c r="B264" s="69" t="s">
        <v>385</v>
      </c>
      <c r="C264" s="69" t="s">
        <v>103</v>
      </c>
      <c r="D264" s="71">
        <v>55</v>
      </c>
      <c r="E264" s="69" t="s">
        <v>113</v>
      </c>
      <c r="F264" s="69" t="s">
        <v>105</v>
      </c>
      <c r="G264" s="69" t="s">
        <v>105</v>
      </c>
      <c r="H264" s="69" t="s">
        <v>131</v>
      </c>
      <c r="I264" s="69" t="s">
        <v>107</v>
      </c>
      <c r="J264" s="72">
        <v>400</v>
      </c>
    </row>
    <row r="265" spans="1:10" ht="15" customHeight="1">
      <c r="A265" s="70">
        <v>43907</v>
      </c>
      <c r="B265" s="69" t="s">
        <v>386</v>
      </c>
      <c r="C265" s="69" t="s">
        <v>116</v>
      </c>
      <c r="D265" s="71">
        <v>32</v>
      </c>
      <c r="E265" s="69" t="s">
        <v>109</v>
      </c>
      <c r="F265" s="69" t="s">
        <v>105</v>
      </c>
      <c r="G265" s="69" t="s">
        <v>105</v>
      </c>
      <c r="H265" s="69" t="s">
        <v>137</v>
      </c>
      <c r="I265" s="69" t="s">
        <v>107</v>
      </c>
      <c r="J265" s="72">
        <v>400</v>
      </c>
    </row>
    <row r="266" spans="1:10" ht="15" customHeight="1">
      <c r="A266" s="70">
        <v>43907</v>
      </c>
      <c r="B266" s="69" t="s">
        <v>387</v>
      </c>
      <c r="C266" s="69" t="s">
        <v>116</v>
      </c>
      <c r="D266" s="71">
        <v>41</v>
      </c>
      <c r="E266" s="69" t="s">
        <v>109</v>
      </c>
      <c r="F266" s="69" t="s">
        <v>120</v>
      </c>
      <c r="G266" s="69" t="s">
        <v>142</v>
      </c>
      <c r="H266" s="69" t="s">
        <v>106</v>
      </c>
      <c r="I266" s="69" t="s">
        <v>111</v>
      </c>
      <c r="J266" s="72">
        <v>52</v>
      </c>
    </row>
    <row r="267" spans="1:10" ht="15" customHeight="1">
      <c r="A267" s="70">
        <v>43907</v>
      </c>
      <c r="B267" s="69" t="s">
        <v>388</v>
      </c>
      <c r="C267" s="69" t="s">
        <v>116</v>
      </c>
      <c r="D267" s="71">
        <v>43</v>
      </c>
      <c r="E267" s="69" t="s">
        <v>139</v>
      </c>
      <c r="F267" s="69" t="s">
        <v>120</v>
      </c>
      <c r="G267" s="69" t="s">
        <v>125</v>
      </c>
      <c r="H267" s="69" t="s">
        <v>106</v>
      </c>
      <c r="I267" s="69" t="s">
        <v>107</v>
      </c>
      <c r="J267" s="72">
        <v>65</v>
      </c>
    </row>
    <row r="268" spans="1:10" ht="15" customHeight="1">
      <c r="A268" s="70">
        <v>43907</v>
      </c>
      <c r="B268" s="69" t="s">
        <v>389</v>
      </c>
      <c r="C268" s="69" t="s">
        <v>116</v>
      </c>
      <c r="D268" s="71">
        <v>0</v>
      </c>
      <c r="E268" s="69" t="s">
        <v>104</v>
      </c>
      <c r="F268" s="69" t="s">
        <v>105</v>
      </c>
      <c r="G268" s="69" t="s">
        <v>105</v>
      </c>
      <c r="H268" s="69" t="s">
        <v>110</v>
      </c>
      <c r="I268" s="69" t="s">
        <v>111</v>
      </c>
      <c r="J268" s="72">
        <v>400</v>
      </c>
    </row>
    <row r="269" spans="1:10" ht="15" customHeight="1">
      <c r="A269" s="70">
        <v>43907</v>
      </c>
      <c r="B269" s="69" t="s">
        <v>390</v>
      </c>
      <c r="C269" s="69" t="s">
        <v>103</v>
      </c>
      <c r="D269" s="71">
        <v>39</v>
      </c>
      <c r="E269" s="69" t="s">
        <v>113</v>
      </c>
      <c r="F269" s="69" t="s">
        <v>105</v>
      </c>
      <c r="G269" s="69" t="s">
        <v>105</v>
      </c>
      <c r="H269" s="69" t="s">
        <v>106</v>
      </c>
      <c r="I269" s="69" t="s">
        <v>159</v>
      </c>
      <c r="J269" s="72">
        <v>400</v>
      </c>
    </row>
    <row r="270" spans="1:10" ht="15" customHeight="1">
      <c r="A270" s="70">
        <v>43907</v>
      </c>
      <c r="B270" s="69" t="s">
        <v>391</v>
      </c>
      <c r="C270" s="69" t="s">
        <v>103</v>
      </c>
      <c r="D270" s="71">
        <v>24</v>
      </c>
      <c r="E270" s="69" t="s">
        <v>104</v>
      </c>
      <c r="F270" s="69" t="s">
        <v>120</v>
      </c>
      <c r="G270" s="69" t="s">
        <v>121</v>
      </c>
      <c r="H270" s="69" t="s">
        <v>131</v>
      </c>
      <c r="I270" s="69" t="s">
        <v>159</v>
      </c>
      <c r="J270" s="72">
        <v>78</v>
      </c>
    </row>
    <row r="271" spans="1:10" ht="15" customHeight="1">
      <c r="A271" s="70">
        <v>43907</v>
      </c>
      <c r="B271" s="69" t="s">
        <v>392</v>
      </c>
      <c r="C271" s="69" t="s">
        <v>103</v>
      </c>
      <c r="D271" s="71">
        <v>71</v>
      </c>
      <c r="E271" s="69" t="s">
        <v>113</v>
      </c>
      <c r="F271" s="69" t="s">
        <v>120</v>
      </c>
      <c r="G271" s="69" t="s">
        <v>125</v>
      </c>
      <c r="H271" s="69" t="s">
        <v>145</v>
      </c>
      <c r="I271" s="69" t="s">
        <v>129</v>
      </c>
      <c r="J271" s="72">
        <v>65</v>
      </c>
    </row>
    <row r="272" spans="1:10" ht="15" customHeight="1">
      <c r="A272" s="70">
        <v>43907</v>
      </c>
      <c r="B272" s="69" t="s">
        <v>393</v>
      </c>
      <c r="C272" s="69" t="s">
        <v>116</v>
      </c>
      <c r="D272" s="71">
        <v>6</v>
      </c>
      <c r="E272" s="69" t="s">
        <v>139</v>
      </c>
      <c r="F272" s="69" t="s">
        <v>105</v>
      </c>
      <c r="G272" s="69" t="s">
        <v>105</v>
      </c>
      <c r="H272" s="69" t="s">
        <v>106</v>
      </c>
      <c r="I272" s="69" t="s">
        <v>111</v>
      </c>
      <c r="J272" s="72">
        <v>400</v>
      </c>
    </row>
    <row r="273" spans="1:10" ht="15" customHeight="1">
      <c r="A273" s="70">
        <v>43908</v>
      </c>
      <c r="B273" s="69" t="s">
        <v>394</v>
      </c>
      <c r="C273" s="69" t="s">
        <v>103</v>
      </c>
      <c r="D273" s="71">
        <v>67</v>
      </c>
      <c r="E273" s="69" t="s">
        <v>104</v>
      </c>
      <c r="F273" s="69" t="s">
        <v>105</v>
      </c>
      <c r="G273" s="69" t="s">
        <v>105</v>
      </c>
      <c r="H273" s="69" t="s">
        <v>106</v>
      </c>
      <c r="I273" s="69" t="s">
        <v>118</v>
      </c>
      <c r="J273" s="72">
        <v>400</v>
      </c>
    </row>
    <row r="274" spans="1:10" ht="15" customHeight="1">
      <c r="A274" s="70">
        <v>43908</v>
      </c>
      <c r="B274" s="69" t="s">
        <v>395</v>
      </c>
      <c r="C274" s="69" t="s">
        <v>116</v>
      </c>
      <c r="D274" s="71">
        <v>31</v>
      </c>
      <c r="E274" s="69" t="s">
        <v>109</v>
      </c>
      <c r="F274" s="69" t="s">
        <v>120</v>
      </c>
      <c r="G274" s="69" t="s">
        <v>125</v>
      </c>
      <c r="H274" s="69" t="s">
        <v>110</v>
      </c>
      <c r="I274" s="69" t="s">
        <v>118</v>
      </c>
      <c r="J274" s="72">
        <v>65</v>
      </c>
    </row>
    <row r="275" spans="1:10" ht="15" customHeight="1">
      <c r="A275" s="70">
        <v>43908</v>
      </c>
      <c r="B275" s="69" t="s">
        <v>396</v>
      </c>
      <c r="C275" s="69" t="s">
        <v>103</v>
      </c>
      <c r="D275" s="71">
        <v>24</v>
      </c>
      <c r="E275" s="69" t="s">
        <v>104</v>
      </c>
      <c r="F275" s="69" t="s">
        <v>105</v>
      </c>
      <c r="G275" s="69" t="s">
        <v>105</v>
      </c>
      <c r="H275" s="69" t="s">
        <v>137</v>
      </c>
      <c r="I275" s="69" t="s">
        <v>159</v>
      </c>
      <c r="J275" s="72">
        <v>400</v>
      </c>
    </row>
    <row r="276" spans="1:10" ht="15" customHeight="1">
      <c r="A276" s="70">
        <v>43908</v>
      </c>
      <c r="B276" s="69" t="s">
        <v>397</v>
      </c>
      <c r="C276" s="69" t="s">
        <v>116</v>
      </c>
      <c r="D276" s="71">
        <v>57</v>
      </c>
      <c r="E276" s="69" t="s">
        <v>109</v>
      </c>
      <c r="F276" s="69" t="s">
        <v>120</v>
      </c>
      <c r="G276" s="69" t="s">
        <v>125</v>
      </c>
      <c r="H276" s="69" t="s">
        <v>137</v>
      </c>
      <c r="I276" s="69" t="s">
        <v>118</v>
      </c>
      <c r="J276" s="72">
        <v>65</v>
      </c>
    </row>
    <row r="277" spans="1:10" ht="15" customHeight="1">
      <c r="A277" s="70">
        <v>43909</v>
      </c>
      <c r="B277" s="69" t="s">
        <v>398</v>
      </c>
      <c r="C277" s="69" t="s">
        <v>103</v>
      </c>
      <c r="D277" s="71">
        <v>38</v>
      </c>
      <c r="E277" s="69" t="s">
        <v>109</v>
      </c>
      <c r="F277" s="69" t="s">
        <v>105</v>
      </c>
      <c r="G277" s="69" t="s">
        <v>105</v>
      </c>
      <c r="H277" s="69" t="s">
        <v>110</v>
      </c>
      <c r="I277" s="69" t="s">
        <v>111</v>
      </c>
      <c r="J277" s="72">
        <v>400</v>
      </c>
    </row>
    <row r="278" spans="1:10" ht="15" customHeight="1">
      <c r="A278" s="70">
        <v>43910</v>
      </c>
      <c r="B278" s="69" t="s">
        <v>399</v>
      </c>
      <c r="C278" s="69" t="s">
        <v>103</v>
      </c>
      <c r="D278" s="71">
        <v>11</v>
      </c>
      <c r="E278" s="69" t="s">
        <v>109</v>
      </c>
      <c r="F278" s="69" t="s">
        <v>120</v>
      </c>
      <c r="G278" s="69" t="s">
        <v>121</v>
      </c>
      <c r="H278" s="69" t="s">
        <v>128</v>
      </c>
      <c r="I278" s="69" t="s">
        <v>107</v>
      </c>
      <c r="J278" s="72">
        <v>78</v>
      </c>
    </row>
    <row r="279" spans="1:10" ht="15" customHeight="1">
      <c r="A279" s="70">
        <v>43910</v>
      </c>
      <c r="B279" s="69" t="s">
        <v>400</v>
      </c>
      <c r="C279" s="69" t="s">
        <v>116</v>
      </c>
      <c r="D279" s="71">
        <v>17</v>
      </c>
      <c r="E279" s="69" t="s">
        <v>104</v>
      </c>
      <c r="F279" s="69" t="s">
        <v>105</v>
      </c>
      <c r="G279" s="69" t="s">
        <v>105</v>
      </c>
      <c r="H279" s="69" t="s">
        <v>110</v>
      </c>
      <c r="I279" s="69" t="s">
        <v>111</v>
      </c>
      <c r="J279" s="72">
        <v>400</v>
      </c>
    </row>
    <row r="280" spans="1:10" ht="15" customHeight="1">
      <c r="A280" s="70">
        <v>43911</v>
      </c>
      <c r="B280" s="69" t="s">
        <v>401</v>
      </c>
      <c r="C280" s="69" t="s">
        <v>103</v>
      </c>
      <c r="D280" s="71">
        <v>21</v>
      </c>
      <c r="E280" s="69" t="s">
        <v>104</v>
      </c>
      <c r="F280" s="69" t="s">
        <v>105</v>
      </c>
      <c r="G280" s="69" t="s">
        <v>105</v>
      </c>
      <c r="H280" s="69" t="s">
        <v>145</v>
      </c>
      <c r="I280" s="69" t="s">
        <v>107</v>
      </c>
      <c r="J280" s="72">
        <v>400</v>
      </c>
    </row>
    <row r="281" spans="1:10" ht="15" customHeight="1">
      <c r="A281" s="70">
        <v>43911</v>
      </c>
      <c r="B281" s="69" t="s">
        <v>402</v>
      </c>
      <c r="C281" s="69" t="s">
        <v>116</v>
      </c>
      <c r="D281" s="71">
        <v>64</v>
      </c>
      <c r="E281" s="69" t="s">
        <v>104</v>
      </c>
      <c r="F281" s="69" t="s">
        <v>120</v>
      </c>
      <c r="G281" s="69" t="s">
        <v>121</v>
      </c>
      <c r="H281" s="69" t="s">
        <v>117</v>
      </c>
      <c r="I281" s="69" t="s">
        <v>159</v>
      </c>
      <c r="J281" s="72">
        <v>78</v>
      </c>
    </row>
    <row r="282" spans="1:10" ht="15" customHeight="1">
      <c r="A282" s="70">
        <v>43911</v>
      </c>
      <c r="B282" s="69" t="s">
        <v>403</v>
      </c>
      <c r="C282" s="69" t="s">
        <v>103</v>
      </c>
      <c r="D282" s="71">
        <v>30</v>
      </c>
      <c r="E282" s="69" t="s">
        <v>109</v>
      </c>
      <c r="F282" s="69" t="s">
        <v>105</v>
      </c>
      <c r="G282" s="69" t="s">
        <v>105</v>
      </c>
      <c r="H282" s="69" t="s">
        <v>137</v>
      </c>
      <c r="I282" s="69" t="s">
        <v>111</v>
      </c>
      <c r="J282" s="72">
        <v>400</v>
      </c>
    </row>
    <row r="283" spans="1:10" ht="15" customHeight="1">
      <c r="A283" s="70">
        <v>43912</v>
      </c>
      <c r="B283" s="69" t="s">
        <v>404</v>
      </c>
      <c r="C283" s="69" t="s">
        <v>116</v>
      </c>
      <c r="D283" s="71">
        <v>42</v>
      </c>
      <c r="E283" s="69" t="s">
        <v>113</v>
      </c>
      <c r="F283" s="69" t="s">
        <v>105</v>
      </c>
      <c r="G283" s="69" t="s">
        <v>105</v>
      </c>
      <c r="H283" s="69" t="s">
        <v>137</v>
      </c>
      <c r="I283" s="69" t="s">
        <v>129</v>
      </c>
      <c r="J283" s="72">
        <v>400</v>
      </c>
    </row>
    <row r="284" spans="1:10" ht="15" customHeight="1">
      <c r="A284" s="70">
        <v>43912</v>
      </c>
      <c r="B284" s="69" t="s">
        <v>405</v>
      </c>
      <c r="C284" s="69" t="s">
        <v>116</v>
      </c>
      <c r="D284" s="71">
        <v>34</v>
      </c>
      <c r="E284" s="69" t="s">
        <v>139</v>
      </c>
      <c r="F284" s="69" t="s">
        <v>120</v>
      </c>
      <c r="G284" s="69" t="s">
        <v>125</v>
      </c>
      <c r="H284" s="69" t="s">
        <v>145</v>
      </c>
      <c r="I284" s="69" t="s">
        <v>114</v>
      </c>
      <c r="J284" s="72">
        <v>65</v>
      </c>
    </row>
    <row r="285" spans="1:10" ht="15" customHeight="1">
      <c r="A285" s="70">
        <v>43912</v>
      </c>
      <c r="B285" s="69" t="s">
        <v>406</v>
      </c>
      <c r="C285" s="69" t="s">
        <v>103</v>
      </c>
      <c r="D285" s="71">
        <v>43</v>
      </c>
      <c r="E285" s="69" t="s">
        <v>109</v>
      </c>
      <c r="F285" s="69" t="s">
        <v>105</v>
      </c>
      <c r="G285" s="69" t="s">
        <v>105</v>
      </c>
      <c r="H285" s="69" t="s">
        <v>110</v>
      </c>
      <c r="I285" s="69" t="s">
        <v>118</v>
      </c>
      <c r="J285" s="72">
        <v>400</v>
      </c>
    </row>
    <row r="286" spans="1:10" ht="15" customHeight="1">
      <c r="A286" s="70">
        <v>43912</v>
      </c>
      <c r="B286" s="69" t="s">
        <v>407</v>
      </c>
      <c r="C286" s="69" t="s">
        <v>116</v>
      </c>
      <c r="D286" s="71">
        <v>48</v>
      </c>
      <c r="E286" s="69" t="s">
        <v>113</v>
      </c>
      <c r="F286" s="69" t="s">
        <v>120</v>
      </c>
      <c r="G286" s="69" t="s">
        <v>121</v>
      </c>
      <c r="H286" s="69" t="s">
        <v>128</v>
      </c>
      <c r="I286" s="69" t="s">
        <v>114</v>
      </c>
      <c r="J286" s="72">
        <v>78</v>
      </c>
    </row>
    <row r="287" spans="1:10" ht="15" customHeight="1">
      <c r="A287" s="70">
        <v>43913</v>
      </c>
      <c r="B287" s="69" t="s">
        <v>408</v>
      </c>
      <c r="C287" s="69" t="s">
        <v>116</v>
      </c>
      <c r="D287" s="71">
        <v>2</v>
      </c>
      <c r="E287" s="69" t="s">
        <v>139</v>
      </c>
      <c r="F287" s="69" t="s">
        <v>105</v>
      </c>
      <c r="G287" s="69" t="s">
        <v>105</v>
      </c>
      <c r="H287" s="69" t="s">
        <v>137</v>
      </c>
      <c r="I287" s="69" t="s">
        <v>111</v>
      </c>
      <c r="J287" s="72">
        <v>400</v>
      </c>
    </row>
    <row r="288" spans="1:10" ht="15" customHeight="1">
      <c r="A288" s="70">
        <v>43913</v>
      </c>
      <c r="B288" s="69" t="s">
        <v>409</v>
      </c>
      <c r="C288" s="69" t="s">
        <v>103</v>
      </c>
      <c r="D288" s="71">
        <v>28</v>
      </c>
      <c r="E288" s="69" t="s">
        <v>139</v>
      </c>
      <c r="F288" s="69" t="s">
        <v>120</v>
      </c>
      <c r="G288" s="69" t="s">
        <v>121</v>
      </c>
      <c r="H288" s="69" t="s">
        <v>110</v>
      </c>
      <c r="I288" s="69" t="s">
        <v>129</v>
      </c>
      <c r="J288" s="72">
        <v>78</v>
      </c>
    </row>
    <row r="289" spans="1:10" ht="15" customHeight="1">
      <c r="A289" s="70">
        <v>43913</v>
      </c>
      <c r="B289" s="69" t="s">
        <v>410</v>
      </c>
      <c r="C289" s="69" t="s">
        <v>116</v>
      </c>
      <c r="D289" s="71">
        <v>7</v>
      </c>
      <c r="E289" s="69" t="s">
        <v>109</v>
      </c>
      <c r="F289" s="69" t="s">
        <v>120</v>
      </c>
      <c r="G289" s="69" t="s">
        <v>123</v>
      </c>
      <c r="H289" s="69" t="s">
        <v>106</v>
      </c>
      <c r="I289" s="69" t="s">
        <v>111</v>
      </c>
      <c r="J289" s="72">
        <v>90</v>
      </c>
    </row>
    <row r="290" spans="1:10" ht="15" customHeight="1">
      <c r="A290" s="70">
        <v>43913</v>
      </c>
      <c r="B290" s="69" t="s">
        <v>411</v>
      </c>
      <c r="C290" s="69" t="s">
        <v>103</v>
      </c>
      <c r="D290" s="71">
        <v>55</v>
      </c>
      <c r="E290" s="69" t="s">
        <v>109</v>
      </c>
      <c r="F290" s="69" t="s">
        <v>120</v>
      </c>
      <c r="G290" s="69" t="s">
        <v>121</v>
      </c>
      <c r="H290" s="69" t="s">
        <v>128</v>
      </c>
      <c r="I290" s="69" t="s">
        <v>107</v>
      </c>
      <c r="J290" s="72">
        <v>78</v>
      </c>
    </row>
    <row r="291" spans="1:10" ht="15" customHeight="1">
      <c r="A291" s="70">
        <v>43914</v>
      </c>
      <c r="B291" s="69" t="s">
        <v>412</v>
      </c>
      <c r="C291" s="69" t="s">
        <v>103</v>
      </c>
      <c r="D291" s="71">
        <v>30</v>
      </c>
      <c r="E291" s="69" t="s">
        <v>104</v>
      </c>
      <c r="F291" s="69" t="s">
        <v>105</v>
      </c>
      <c r="G291" s="69" t="s">
        <v>105</v>
      </c>
      <c r="H291" s="69" t="s">
        <v>106</v>
      </c>
      <c r="I291" s="69" t="s">
        <v>107</v>
      </c>
      <c r="J291" s="72">
        <v>400</v>
      </c>
    </row>
    <row r="292" spans="1:10" ht="15" customHeight="1">
      <c r="A292" s="70">
        <v>43914</v>
      </c>
      <c r="B292" s="69" t="s">
        <v>413</v>
      </c>
      <c r="C292" s="69" t="s">
        <v>103</v>
      </c>
      <c r="D292" s="71">
        <v>72</v>
      </c>
      <c r="E292" s="69" t="s">
        <v>104</v>
      </c>
      <c r="F292" s="69" t="s">
        <v>105</v>
      </c>
      <c r="G292" s="69" t="s">
        <v>105</v>
      </c>
      <c r="H292" s="69" t="s">
        <v>128</v>
      </c>
      <c r="I292" s="69" t="s">
        <v>107</v>
      </c>
      <c r="J292" s="72">
        <v>400</v>
      </c>
    </row>
    <row r="293" spans="1:10" ht="15" customHeight="1">
      <c r="A293" s="70">
        <v>43914</v>
      </c>
      <c r="B293" s="69" t="s">
        <v>414</v>
      </c>
      <c r="C293" s="69" t="s">
        <v>116</v>
      </c>
      <c r="D293" s="71">
        <v>22</v>
      </c>
      <c r="E293" s="69" t="s">
        <v>104</v>
      </c>
      <c r="F293" s="69" t="s">
        <v>120</v>
      </c>
      <c r="G293" s="69" t="s">
        <v>123</v>
      </c>
      <c r="H293" s="69" t="s">
        <v>145</v>
      </c>
      <c r="I293" s="69" t="s">
        <v>118</v>
      </c>
      <c r="J293" s="72">
        <v>90</v>
      </c>
    </row>
    <row r="294" spans="1:10" ht="15" customHeight="1">
      <c r="A294" s="70">
        <v>43915</v>
      </c>
      <c r="B294" s="69" t="s">
        <v>415</v>
      </c>
      <c r="C294" s="69" t="s">
        <v>116</v>
      </c>
      <c r="D294" s="71">
        <v>2</v>
      </c>
      <c r="E294" s="69" t="s">
        <v>109</v>
      </c>
      <c r="F294" s="69" t="s">
        <v>120</v>
      </c>
      <c r="G294" s="69" t="s">
        <v>121</v>
      </c>
      <c r="H294" s="69" t="s">
        <v>126</v>
      </c>
      <c r="I294" s="69" t="s">
        <v>159</v>
      </c>
      <c r="J294" s="72">
        <v>78</v>
      </c>
    </row>
    <row r="295" spans="1:10" ht="15" customHeight="1">
      <c r="A295" s="70">
        <v>43915</v>
      </c>
      <c r="B295" s="69" t="s">
        <v>416</v>
      </c>
      <c r="C295" s="69" t="s">
        <v>116</v>
      </c>
      <c r="D295" s="71">
        <v>40</v>
      </c>
      <c r="E295" s="69" t="s">
        <v>139</v>
      </c>
      <c r="F295" s="69" t="s">
        <v>105</v>
      </c>
      <c r="G295" s="69" t="s">
        <v>105</v>
      </c>
      <c r="H295" s="69" t="s">
        <v>117</v>
      </c>
      <c r="I295" s="69" t="s">
        <v>111</v>
      </c>
      <c r="J295" s="72">
        <v>400</v>
      </c>
    </row>
    <row r="296" spans="1:10" ht="15" customHeight="1">
      <c r="A296" s="70">
        <v>43915</v>
      </c>
      <c r="B296" s="69" t="s">
        <v>417</v>
      </c>
      <c r="C296" s="69" t="s">
        <v>103</v>
      </c>
      <c r="D296" s="71">
        <v>73</v>
      </c>
      <c r="E296" s="69" t="s">
        <v>139</v>
      </c>
      <c r="F296" s="69" t="s">
        <v>120</v>
      </c>
      <c r="G296" s="69" t="s">
        <v>142</v>
      </c>
      <c r="H296" s="69" t="s">
        <v>128</v>
      </c>
      <c r="I296" s="69" t="s">
        <v>118</v>
      </c>
      <c r="J296" s="72">
        <v>52</v>
      </c>
    </row>
    <row r="297" spans="1:10" ht="15" customHeight="1">
      <c r="A297" s="70">
        <v>43915</v>
      </c>
      <c r="B297" s="69" t="s">
        <v>418</v>
      </c>
      <c r="C297" s="69" t="s">
        <v>116</v>
      </c>
      <c r="D297" s="71">
        <v>47</v>
      </c>
      <c r="E297" s="69" t="s">
        <v>113</v>
      </c>
      <c r="F297" s="69" t="s">
        <v>120</v>
      </c>
      <c r="G297" s="69" t="s">
        <v>125</v>
      </c>
      <c r="H297" s="69" t="s">
        <v>128</v>
      </c>
      <c r="I297" s="69" t="s">
        <v>114</v>
      </c>
      <c r="J297" s="72">
        <v>65</v>
      </c>
    </row>
    <row r="298" spans="1:10" ht="15" customHeight="1">
      <c r="A298" s="70">
        <v>43915</v>
      </c>
      <c r="B298" s="69" t="s">
        <v>419</v>
      </c>
      <c r="C298" s="69" t="s">
        <v>116</v>
      </c>
      <c r="D298" s="71">
        <v>64</v>
      </c>
      <c r="E298" s="69" t="s">
        <v>113</v>
      </c>
      <c r="F298" s="69" t="s">
        <v>105</v>
      </c>
      <c r="G298" s="69" t="s">
        <v>105</v>
      </c>
      <c r="H298" s="69" t="s">
        <v>137</v>
      </c>
      <c r="I298" s="69" t="s">
        <v>114</v>
      </c>
      <c r="J298" s="72">
        <v>400</v>
      </c>
    </row>
    <row r="299" spans="1:10" ht="15" customHeight="1">
      <c r="A299" s="70">
        <v>43916</v>
      </c>
      <c r="B299" s="69" t="s">
        <v>420</v>
      </c>
      <c r="C299" s="69" t="s">
        <v>103</v>
      </c>
      <c r="D299" s="71">
        <v>54</v>
      </c>
      <c r="E299" s="69" t="s">
        <v>104</v>
      </c>
      <c r="F299" s="69" t="s">
        <v>105</v>
      </c>
      <c r="G299" s="69" t="s">
        <v>105</v>
      </c>
      <c r="H299" s="69" t="s">
        <v>106</v>
      </c>
      <c r="I299" s="69" t="s">
        <v>107</v>
      </c>
      <c r="J299" s="72">
        <v>400</v>
      </c>
    </row>
    <row r="300" spans="1:10" ht="15" customHeight="1">
      <c r="A300" s="70">
        <v>43917</v>
      </c>
      <c r="B300" s="69" t="s">
        <v>225</v>
      </c>
      <c r="C300" s="69" t="s">
        <v>116</v>
      </c>
      <c r="D300" s="71">
        <v>17</v>
      </c>
      <c r="E300" s="69" t="s">
        <v>104</v>
      </c>
      <c r="F300" s="69" t="s">
        <v>105</v>
      </c>
      <c r="G300" s="69" t="s">
        <v>105</v>
      </c>
      <c r="H300" s="69" t="s">
        <v>117</v>
      </c>
      <c r="I300" s="69" t="s">
        <v>114</v>
      </c>
      <c r="J300" s="72">
        <v>400</v>
      </c>
    </row>
    <row r="301" spans="1:10" ht="15" customHeight="1">
      <c r="A301" s="70">
        <v>43917</v>
      </c>
      <c r="B301" s="69" t="s">
        <v>421</v>
      </c>
      <c r="C301" s="69" t="s">
        <v>116</v>
      </c>
      <c r="D301" s="71">
        <v>29</v>
      </c>
      <c r="E301" s="69" t="s">
        <v>113</v>
      </c>
      <c r="F301" s="69" t="s">
        <v>105</v>
      </c>
      <c r="G301" s="69" t="s">
        <v>105</v>
      </c>
      <c r="H301" s="69" t="s">
        <v>117</v>
      </c>
      <c r="I301" s="69" t="s">
        <v>118</v>
      </c>
      <c r="J301" s="72">
        <v>400</v>
      </c>
    </row>
    <row r="302" spans="1:10" ht="15" customHeight="1">
      <c r="A302" s="70">
        <v>43917</v>
      </c>
      <c r="B302" s="69" t="s">
        <v>422</v>
      </c>
      <c r="C302" s="69" t="s">
        <v>103</v>
      </c>
      <c r="D302" s="71">
        <v>67</v>
      </c>
      <c r="E302" s="69" t="s">
        <v>113</v>
      </c>
      <c r="F302" s="69" t="s">
        <v>105</v>
      </c>
      <c r="G302" s="69" t="s">
        <v>105</v>
      </c>
      <c r="H302" s="69" t="s">
        <v>137</v>
      </c>
      <c r="I302" s="69" t="s">
        <v>114</v>
      </c>
      <c r="J302" s="72">
        <v>400</v>
      </c>
    </row>
    <row r="303" spans="1:10" ht="15" customHeight="1">
      <c r="A303" s="70">
        <v>43917</v>
      </c>
      <c r="B303" s="69" t="s">
        <v>423</v>
      </c>
      <c r="C303" s="69" t="s">
        <v>103</v>
      </c>
      <c r="D303" s="71">
        <v>62</v>
      </c>
      <c r="E303" s="69" t="s">
        <v>109</v>
      </c>
      <c r="F303" s="69" t="s">
        <v>105</v>
      </c>
      <c r="G303" s="69" t="s">
        <v>105</v>
      </c>
      <c r="H303" s="69" t="s">
        <v>128</v>
      </c>
      <c r="I303" s="69" t="s">
        <v>111</v>
      </c>
      <c r="J303" s="72">
        <v>400</v>
      </c>
    </row>
    <row r="304" spans="1:10" ht="15" customHeight="1">
      <c r="A304" s="70">
        <v>43917</v>
      </c>
      <c r="B304" s="69" t="s">
        <v>424</v>
      </c>
      <c r="C304" s="69" t="s">
        <v>116</v>
      </c>
      <c r="D304" s="71">
        <v>28</v>
      </c>
      <c r="E304" s="69" t="s">
        <v>139</v>
      </c>
      <c r="F304" s="69" t="s">
        <v>105</v>
      </c>
      <c r="G304" s="69" t="s">
        <v>105</v>
      </c>
      <c r="H304" s="69" t="s">
        <v>128</v>
      </c>
      <c r="I304" s="69" t="s">
        <v>107</v>
      </c>
      <c r="J304" s="72">
        <v>400</v>
      </c>
    </row>
    <row r="305" spans="1:10" ht="15" customHeight="1">
      <c r="A305" s="70">
        <v>43918</v>
      </c>
      <c r="B305" s="69" t="s">
        <v>425</v>
      </c>
      <c r="C305" s="69" t="s">
        <v>116</v>
      </c>
      <c r="D305" s="71">
        <v>18</v>
      </c>
      <c r="E305" s="69" t="s">
        <v>104</v>
      </c>
      <c r="F305" s="69" t="s">
        <v>105</v>
      </c>
      <c r="G305" s="69" t="s">
        <v>105</v>
      </c>
      <c r="H305" s="69" t="s">
        <v>137</v>
      </c>
      <c r="I305" s="69" t="s">
        <v>111</v>
      </c>
      <c r="J305" s="72">
        <v>400</v>
      </c>
    </row>
    <row r="306" spans="1:10" ht="15" customHeight="1">
      <c r="A306" s="70">
        <v>43918</v>
      </c>
      <c r="B306" s="69" t="s">
        <v>426</v>
      </c>
      <c r="C306" s="69" t="s">
        <v>103</v>
      </c>
      <c r="D306" s="71">
        <v>5</v>
      </c>
      <c r="E306" s="69" t="s">
        <v>113</v>
      </c>
      <c r="F306" s="69" t="s">
        <v>120</v>
      </c>
      <c r="G306" s="69" t="s">
        <v>123</v>
      </c>
      <c r="H306" s="69" t="s">
        <v>110</v>
      </c>
      <c r="I306" s="69" t="s">
        <v>107</v>
      </c>
      <c r="J306" s="72">
        <v>90</v>
      </c>
    </row>
    <row r="307" spans="1:10" ht="15" customHeight="1">
      <c r="A307" s="70">
        <v>43918</v>
      </c>
      <c r="B307" s="69" t="s">
        <v>427</v>
      </c>
      <c r="C307" s="69" t="s">
        <v>116</v>
      </c>
      <c r="D307" s="71">
        <v>27</v>
      </c>
      <c r="E307" s="69" t="s">
        <v>113</v>
      </c>
      <c r="F307" s="69" t="s">
        <v>105</v>
      </c>
      <c r="G307" s="69" t="s">
        <v>105</v>
      </c>
      <c r="H307" s="69" t="s">
        <v>131</v>
      </c>
      <c r="I307" s="69" t="s">
        <v>114</v>
      </c>
      <c r="J307" s="72">
        <v>400</v>
      </c>
    </row>
    <row r="308" spans="1:10" ht="15" customHeight="1">
      <c r="A308" s="70">
        <v>43918</v>
      </c>
      <c r="B308" s="69" t="s">
        <v>428</v>
      </c>
      <c r="C308" s="69" t="s">
        <v>103</v>
      </c>
      <c r="D308" s="71">
        <v>62</v>
      </c>
      <c r="E308" s="69" t="s">
        <v>113</v>
      </c>
      <c r="F308" s="69" t="s">
        <v>105</v>
      </c>
      <c r="G308" s="69" t="s">
        <v>105</v>
      </c>
      <c r="H308" s="69" t="s">
        <v>145</v>
      </c>
      <c r="I308" s="69" t="s">
        <v>118</v>
      </c>
      <c r="J308" s="72">
        <v>400</v>
      </c>
    </row>
    <row r="309" spans="1:10" ht="15" customHeight="1">
      <c r="A309" s="70">
        <v>43919</v>
      </c>
      <c r="B309" s="69" t="s">
        <v>429</v>
      </c>
      <c r="C309" s="69" t="s">
        <v>116</v>
      </c>
      <c r="D309" s="71">
        <v>43</v>
      </c>
      <c r="E309" s="69" t="s">
        <v>113</v>
      </c>
      <c r="F309" s="69" t="s">
        <v>105</v>
      </c>
      <c r="G309" s="69" t="s">
        <v>105</v>
      </c>
      <c r="H309" s="69" t="s">
        <v>117</v>
      </c>
      <c r="I309" s="69" t="s">
        <v>111</v>
      </c>
      <c r="J309" s="72">
        <v>400</v>
      </c>
    </row>
    <row r="310" spans="1:10" ht="15" customHeight="1">
      <c r="A310" s="70">
        <v>43919</v>
      </c>
      <c r="B310" s="69" t="s">
        <v>430</v>
      </c>
      <c r="C310" s="69" t="s">
        <v>116</v>
      </c>
      <c r="D310" s="71">
        <v>45</v>
      </c>
      <c r="E310" s="69" t="s">
        <v>139</v>
      </c>
      <c r="F310" s="69" t="s">
        <v>120</v>
      </c>
      <c r="G310" s="69" t="s">
        <v>121</v>
      </c>
      <c r="H310" s="69" t="s">
        <v>137</v>
      </c>
      <c r="I310" s="69" t="s">
        <v>129</v>
      </c>
      <c r="J310" s="72">
        <v>78</v>
      </c>
    </row>
    <row r="311" spans="1:10" ht="15" customHeight="1">
      <c r="A311" s="70">
        <v>43919</v>
      </c>
      <c r="B311" s="69" t="s">
        <v>431</v>
      </c>
      <c r="C311" s="69" t="s">
        <v>116</v>
      </c>
      <c r="D311" s="71">
        <v>73</v>
      </c>
      <c r="E311" s="69" t="s">
        <v>139</v>
      </c>
      <c r="F311" s="69" t="s">
        <v>120</v>
      </c>
      <c r="G311" s="69" t="s">
        <v>121</v>
      </c>
      <c r="H311" s="69" t="s">
        <v>137</v>
      </c>
      <c r="I311" s="69" t="s">
        <v>111</v>
      </c>
      <c r="J311" s="72">
        <v>78</v>
      </c>
    </row>
    <row r="312" spans="1:10" ht="15" customHeight="1">
      <c r="A312" s="70">
        <v>43920</v>
      </c>
      <c r="B312" s="69" t="s">
        <v>432</v>
      </c>
      <c r="C312" s="69" t="s">
        <v>116</v>
      </c>
      <c r="D312" s="71">
        <v>48</v>
      </c>
      <c r="E312" s="69" t="s">
        <v>109</v>
      </c>
      <c r="F312" s="69" t="s">
        <v>105</v>
      </c>
      <c r="G312" s="69" t="s">
        <v>105</v>
      </c>
      <c r="H312" s="69" t="s">
        <v>128</v>
      </c>
      <c r="I312" s="69" t="s">
        <v>118</v>
      </c>
      <c r="J312" s="72">
        <v>400</v>
      </c>
    </row>
    <row r="313" spans="1:10" ht="15" customHeight="1">
      <c r="A313" s="70">
        <v>43920</v>
      </c>
      <c r="B313" s="69" t="s">
        <v>400</v>
      </c>
      <c r="C313" s="69" t="s">
        <v>116</v>
      </c>
      <c r="D313" s="71">
        <v>72</v>
      </c>
      <c r="E313" s="69" t="s">
        <v>139</v>
      </c>
      <c r="F313" s="69" t="s">
        <v>105</v>
      </c>
      <c r="G313" s="69" t="s">
        <v>105</v>
      </c>
      <c r="H313" s="69" t="s">
        <v>137</v>
      </c>
      <c r="I313" s="69" t="s">
        <v>111</v>
      </c>
      <c r="J313" s="72">
        <v>400</v>
      </c>
    </row>
    <row r="314" spans="1:10" ht="15" customHeight="1">
      <c r="A314" s="70">
        <v>43920</v>
      </c>
      <c r="B314" s="69" t="s">
        <v>433</v>
      </c>
      <c r="C314" s="69" t="s">
        <v>116</v>
      </c>
      <c r="D314" s="71">
        <v>28</v>
      </c>
      <c r="E314" s="69" t="s">
        <v>139</v>
      </c>
      <c r="F314" s="69" t="s">
        <v>120</v>
      </c>
      <c r="G314" s="69" t="s">
        <v>121</v>
      </c>
      <c r="H314" s="69" t="s">
        <v>131</v>
      </c>
      <c r="I314" s="69" t="s">
        <v>118</v>
      </c>
      <c r="J314" s="72">
        <v>78</v>
      </c>
    </row>
    <row r="315" spans="1:10" ht="15" customHeight="1">
      <c r="A315" s="70">
        <v>43920</v>
      </c>
      <c r="B315" s="69" t="s">
        <v>434</v>
      </c>
      <c r="C315" s="69" t="s">
        <v>103</v>
      </c>
      <c r="D315" s="71">
        <v>6</v>
      </c>
      <c r="E315" s="69" t="s">
        <v>113</v>
      </c>
      <c r="F315" s="69" t="s">
        <v>105</v>
      </c>
      <c r="G315" s="69" t="s">
        <v>105</v>
      </c>
      <c r="H315" s="69" t="s">
        <v>137</v>
      </c>
      <c r="I315" s="69" t="s">
        <v>111</v>
      </c>
      <c r="J315" s="72">
        <v>400</v>
      </c>
    </row>
    <row r="316" spans="1:10" ht="15" customHeight="1">
      <c r="A316" s="70">
        <v>43920</v>
      </c>
      <c r="B316" s="69" t="s">
        <v>435</v>
      </c>
      <c r="C316" s="69" t="s">
        <v>103</v>
      </c>
      <c r="D316" s="71">
        <v>57</v>
      </c>
      <c r="E316" s="69" t="s">
        <v>139</v>
      </c>
      <c r="F316" s="69" t="s">
        <v>105</v>
      </c>
      <c r="G316" s="69" t="s">
        <v>105</v>
      </c>
      <c r="H316" s="69" t="s">
        <v>117</v>
      </c>
      <c r="I316" s="69" t="s">
        <v>111</v>
      </c>
      <c r="J316" s="72">
        <v>400</v>
      </c>
    </row>
    <row r="317" spans="1:10" ht="15" customHeight="1">
      <c r="A317" s="70">
        <v>43921</v>
      </c>
      <c r="B317" s="69" t="s">
        <v>436</v>
      </c>
      <c r="C317" s="69" t="s">
        <v>103</v>
      </c>
      <c r="D317" s="71">
        <v>74</v>
      </c>
      <c r="E317" s="69" t="s">
        <v>113</v>
      </c>
      <c r="F317" s="69" t="s">
        <v>105</v>
      </c>
      <c r="G317" s="69" t="s">
        <v>105</v>
      </c>
      <c r="H317" s="69" t="s">
        <v>106</v>
      </c>
      <c r="I317" s="69" t="s">
        <v>118</v>
      </c>
      <c r="J317" s="72">
        <v>400</v>
      </c>
    </row>
    <row r="318" spans="1:10" ht="15" customHeight="1">
      <c r="A318" s="70">
        <v>43921</v>
      </c>
      <c r="B318" s="69" t="s">
        <v>437</v>
      </c>
      <c r="C318" s="69" t="s">
        <v>116</v>
      </c>
      <c r="D318" s="71">
        <v>34</v>
      </c>
      <c r="E318" s="69" t="s">
        <v>139</v>
      </c>
      <c r="F318" s="69" t="s">
        <v>120</v>
      </c>
      <c r="G318" s="69" t="s">
        <v>121</v>
      </c>
      <c r="H318" s="69" t="s">
        <v>145</v>
      </c>
      <c r="I318" s="69" t="s">
        <v>118</v>
      </c>
      <c r="J318" s="72">
        <v>78</v>
      </c>
    </row>
    <row r="319" spans="1:10" ht="15" customHeight="1">
      <c r="A319" s="70">
        <v>43922</v>
      </c>
      <c r="B319" s="69" t="s">
        <v>438</v>
      </c>
      <c r="C319" s="69" t="s">
        <v>103</v>
      </c>
      <c r="D319" s="71">
        <v>14</v>
      </c>
      <c r="E319" s="69" t="s">
        <v>113</v>
      </c>
      <c r="F319" s="69" t="s">
        <v>120</v>
      </c>
      <c r="G319" s="69" t="s">
        <v>121</v>
      </c>
      <c r="H319" s="69" t="s">
        <v>106</v>
      </c>
      <c r="I319" s="69" t="s">
        <v>111</v>
      </c>
      <c r="J319" s="72">
        <v>78</v>
      </c>
    </row>
    <row r="320" spans="1:10" ht="15" customHeight="1">
      <c r="A320" s="70">
        <v>43922</v>
      </c>
      <c r="B320" s="69" t="s">
        <v>439</v>
      </c>
      <c r="C320" s="69" t="s">
        <v>116</v>
      </c>
      <c r="D320" s="71">
        <v>41</v>
      </c>
      <c r="E320" s="69" t="s">
        <v>104</v>
      </c>
      <c r="F320" s="69" t="s">
        <v>120</v>
      </c>
      <c r="G320" s="69" t="s">
        <v>121</v>
      </c>
      <c r="H320" s="69" t="s">
        <v>131</v>
      </c>
      <c r="I320" s="69" t="s">
        <v>118</v>
      </c>
      <c r="J320" s="72">
        <v>78</v>
      </c>
    </row>
    <row r="321" spans="1:10" ht="15" customHeight="1">
      <c r="A321" s="70">
        <v>43922</v>
      </c>
      <c r="B321" s="69" t="s">
        <v>440</v>
      </c>
      <c r="C321" s="69" t="s">
        <v>116</v>
      </c>
      <c r="D321" s="71">
        <v>57</v>
      </c>
      <c r="E321" s="69" t="s">
        <v>139</v>
      </c>
      <c r="F321" s="69" t="s">
        <v>105</v>
      </c>
      <c r="G321" s="69" t="s">
        <v>105</v>
      </c>
      <c r="H321" s="69" t="s">
        <v>106</v>
      </c>
      <c r="I321" s="69" t="s">
        <v>107</v>
      </c>
      <c r="J321" s="72">
        <v>400</v>
      </c>
    </row>
    <row r="322" spans="1:10" ht="15" customHeight="1">
      <c r="A322" s="70">
        <v>43922</v>
      </c>
      <c r="B322" s="69" t="s">
        <v>335</v>
      </c>
      <c r="C322" s="69" t="s">
        <v>116</v>
      </c>
      <c r="D322" s="71">
        <v>12</v>
      </c>
      <c r="E322" s="69" t="s">
        <v>109</v>
      </c>
      <c r="F322" s="69" t="s">
        <v>105</v>
      </c>
      <c r="G322" s="69" t="s">
        <v>105</v>
      </c>
      <c r="H322" s="69" t="s">
        <v>106</v>
      </c>
      <c r="I322" s="69" t="s">
        <v>111</v>
      </c>
      <c r="J322" s="72">
        <v>400</v>
      </c>
    </row>
    <row r="323" spans="1:10" ht="15" customHeight="1">
      <c r="A323" s="70">
        <v>43922</v>
      </c>
      <c r="B323" s="69" t="s">
        <v>182</v>
      </c>
      <c r="C323" s="69" t="s">
        <v>116</v>
      </c>
      <c r="D323" s="71">
        <v>25</v>
      </c>
      <c r="E323" s="69" t="s">
        <v>113</v>
      </c>
      <c r="F323" s="69" t="s">
        <v>120</v>
      </c>
      <c r="G323" s="69" t="s">
        <v>121</v>
      </c>
      <c r="H323" s="69" t="s">
        <v>117</v>
      </c>
      <c r="I323" s="69" t="s">
        <v>107</v>
      </c>
      <c r="J323" s="72">
        <v>78</v>
      </c>
    </row>
    <row r="324" spans="1:10" ht="15" customHeight="1">
      <c r="A324" s="70">
        <v>43922</v>
      </c>
      <c r="B324" s="69" t="s">
        <v>441</v>
      </c>
      <c r="C324" s="69" t="s">
        <v>116</v>
      </c>
      <c r="D324" s="71">
        <v>18</v>
      </c>
      <c r="E324" s="69" t="s">
        <v>139</v>
      </c>
      <c r="F324" s="69" t="s">
        <v>105</v>
      </c>
      <c r="G324" s="69" t="s">
        <v>105</v>
      </c>
      <c r="H324" s="69" t="s">
        <v>110</v>
      </c>
      <c r="I324" s="69" t="s">
        <v>114</v>
      </c>
      <c r="J324" s="72">
        <v>400</v>
      </c>
    </row>
    <row r="325" spans="1:10" ht="15" customHeight="1">
      <c r="A325" s="70">
        <v>43923</v>
      </c>
      <c r="B325" s="69" t="s">
        <v>442</v>
      </c>
      <c r="C325" s="69" t="s">
        <v>103</v>
      </c>
      <c r="D325" s="71">
        <v>68</v>
      </c>
      <c r="E325" s="69" t="s">
        <v>109</v>
      </c>
      <c r="F325" s="69" t="s">
        <v>105</v>
      </c>
      <c r="G325" s="69" t="s">
        <v>105</v>
      </c>
      <c r="H325" s="69" t="s">
        <v>106</v>
      </c>
      <c r="I325" s="69" t="s">
        <v>129</v>
      </c>
      <c r="J325" s="72">
        <v>400</v>
      </c>
    </row>
    <row r="326" spans="1:10" ht="15" customHeight="1">
      <c r="A326" s="70">
        <v>43923</v>
      </c>
      <c r="B326" s="69" t="s">
        <v>443</v>
      </c>
      <c r="C326" s="69" t="s">
        <v>116</v>
      </c>
      <c r="D326" s="71">
        <v>64</v>
      </c>
      <c r="E326" s="69" t="s">
        <v>109</v>
      </c>
      <c r="F326" s="69" t="s">
        <v>120</v>
      </c>
      <c r="G326" s="69" t="s">
        <v>142</v>
      </c>
      <c r="H326" s="69" t="s">
        <v>131</v>
      </c>
      <c r="I326" s="69" t="s">
        <v>111</v>
      </c>
      <c r="J326" s="72">
        <v>52</v>
      </c>
    </row>
    <row r="327" spans="1:10" ht="15" customHeight="1">
      <c r="A327" s="70">
        <v>43923</v>
      </c>
      <c r="B327" s="69" t="s">
        <v>444</v>
      </c>
      <c r="C327" s="69" t="s">
        <v>103</v>
      </c>
      <c r="D327" s="71">
        <v>59</v>
      </c>
      <c r="E327" s="69" t="s">
        <v>113</v>
      </c>
      <c r="F327" s="69" t="s">
        <v>120</v>
      </c>
      <c r="G327" s="69" t="s">
        <v>121</v>
      </c>
      <c r="H327" s="69" t="s">
        <v>145</v>
      </c>
      <c r="I327" s="69" t="s">
        <v>118</v>
      </c>
      <c r="J327" s="72">
        <v>78</v>
      </c>
    </row>
    <row r="328" spans="1:10" ht="15" customHeight="1">
      <c r="A328" s="70">
        <v>43923</v>
      </c>
      <c r="B328" s="69" t="s">
        <v>445</v>
      </c>
      <c r="C328" s="69" t="s">
        <v>116</v>
      </c>
      <c r="D328" s="71">
        <v>30</v>
      </c>
      <c r="E328" s="69" t="s">
        <v>109</v>
      </c>
      <c r="F328" s="69" t="s">
        <v>105</v>
      </c>
      <c r="G328" s="69" t="s">
        <v>105</v>
      </c>
      <c r="H328" s="69" t="s">
        <v>110</v>
      </c>
      <c r="I328" s="69" t="s">
        <v>111</v>
      </c>
      <c r="J328" s="72">
        <v>400</v>
      </c>
    </row>
    <row r="329" spans="1:10" ht="15" customHeight="1">
      <c r="A329" s="70">
        <v>43923</v>
      </c>
      <c r="B329" s="69" t="s">
        <v>446</v>
      </c>
      <c r="C329" s="69" t="s">
        <v>116</v>
      </c>
      <c r="D329" s="71">
        <v>54</v>
      </c>
      <c r="E329" s="69" t="s">
        <v>113</v>
      </c>
      <c r="F329" s="69" t="s">
        <v>105</v>
      </c>
      <c r="G329" s="69" t="s">
        <v>105</v>
      </c>
      <c r="H329" s="69" t="s">
        <v>128</v>
      </c>
      <c r="I329" s="69" t="s">
        <v>118</v>
      </c>
      <c r="J329" s="72">
        <v>400</v>
      </c>
    </row>
    <row r="330" spans="1:10" ht="15" customHeight="1">
      <c r="A330" s="70">
        <v>43923</v>
      </c>
      <c r="B330" s="69" t="s">
        <v>447</v>
      </c>
      <c r="C330" s="69" t="s">
        <v>116</v>
      </c>
      <c r="D330" s="71">
        <v>62</v>
      </c>
      <c r="E330" s="69" t="s">
        <v>113</v>
      </c>
      <c r="F330" s="69" t="s">
        <v>105</v>
      </c>
      <c r="G330" s="69" t="s">
        <v>105</v>
      </c>
      <c r="H330" s="69" t="s">
        <v>110</v>
      </c>
      <c r="I330" s="69" t="s">
        <v>129</v>
      </c>
      <c r="J330" s="72">
        <v>400</v>
      </c>
    </row>
    <row r="331" spans="1:10" ht="15" customHeight="1">
      <c r="A331" s="70">
        <v>43924</v>
      </c>
      <c r="B331" s="69" t="s">
        <v>448</v>
      </c>
      <c r="C331" s="69" t="s">
        <v>116</v>
      </c>
      <c r="D331" s="71">
        <v>67</v>
      </c>
      <c r="E331" s="69" t="s">
        <v>109</v>
      </c>
      <c r="F331" s="69" t="s">
        <v>105</v>
      </c>
      <c r="G331" s="69" t="s">
        <v>105</v>
      </c>
      <c r="H331" s="69" t="s">
        <v>117</v>
      </c>
      <c r="I331" s="69" t="s">
        <v>107</v>
      </c>
      <c r="J331" s="72">
        <v>400</v>
      </c>
    </row>
    <row r="332" spans="1:10" ht="15" customHeight="1">
      <c r="A332" s="70">
        <v>43924</v>
      </c>
      <c r="B332" s="69" t="s">
        <v>449</v>
      </c>
      <c r="C332" s="69" t="s">
        <v>103</v>
      </c>
      <c r="D332" s="71">
        <v>9</v>
      </c>
      <c r="E332" s="69" t="s">
        <v>113</v>
      </c>
      <c r="F332" s="69" t="s">
        <v>105</v>
      </c>
      <c r="G332" s="69" t="s">
        <v>105</v>
      </c>
      <c r="H332" s="69" t="s">
        <v>110</v>
      </c>
      <c r="I332" s="69" t="s">
        <v>107</v>
      </c>
      <c r="J332" s="72">
        <v>400</v>
      </c>
    </row>
    <row r="333" spans="1:10" ht="15" customHeight="1">
      <c r="A333" s="70">
        <v>43924</v>
      </c>
      <c r="B333" s="69" t="s">
        <v>450</v>
      </c>
      <c r="C333" s="69" t="s">
        <v>103</v>
      </c>
      <c r="D333" s="71">
        <v>11</v>
      </c>
      <c r="E333" s="69" t="s">
        <v>104</v>
      </c>
      <c r="F333" s="69" t="s">
        <v>105</v>
      </c>
      <c r="G333" s="69" t="s">
        <v>105</v>
      </c>
      <c r="H333" s="69" t="s">
        <v>131</v>
      </c>
      <c r="I333" s="69" t="s">
        <v>111</v>
      </c>
      <c r="J333" s="72">
        <v>400</v>
      </c>
    </row>
    <row r="334" spans="1:10" ht="15" customHeight="1">
      <c r="A334" s="70">
        <v>43924</v>
      </c>
      <c r="B334" s="69" t="s">
        <v>451</v>
      </c>
      <c r="C334" s="69" t="s">
        <v>103</v>
      </c>
      <c r="D334" s="71">
        <v>25</v>
      </c>
      <c r="E334" s="69" t="s">
        <v>109</v>
      </c>
      <c r="F334" s="69" t="s">
        <v>105</v>
      </c>
      <c r="G334" s="69" t="s">
        <v>105</v>
      </c>
      <c r="H334" s="69" t="s">
        <v>128</v>
      </c>
      <c r="I334" s="69" t="s">
        <v>118</v>
      </c>
      <c r="J334" s="72">
        <v>400</v>
      </c>
    </row>
    <row r="335" spans="1:10" ht="15" customHeight="1">
      <c r="A335" s="70">
        <v>43925</v>
      </c>
      <c r="B335" s="69" t="s">
        <v>452</v>
      </c>
      <c r="C335" s="69" t="s">
        <v>103</v>
      </c>
      <c r="D335" s="71">
        <v>65</v>
      </c>
      <c r="E335" s="69" t="s">
        <v>104</v>
      </c>
      <c r="F335" s="69" t="s">
        <v>105</v>
      </c>
      <c r="G335" s="69" t="s">
        <v>105</v>
      </c>
      <c r="H335" s="69" t="s">
        <v>145</v>
      </c>
      <c r="I335" s="69" t="s">
        <v>129</v>
      </c>
      <c r="J335" s="72">
        <v>400</v>
      </c>
    </row>
    <row r="336" spans="1:10" ht="15" customHeight="1">
      <c r="A336" s="70">
        <v>43925</v>
      </c>
      <c r="B336" s="69" t="s">
        <v>453</v>
      </c>
      <c r="C336" s="69" t="s">
        <v>103</v>
      </c>
      <c r="D336" s="71">
        <v>3</v>
      </c>
      <c r="E336" s="69" t="s">
        <v>139</v>
      </c>
      <c r="F336" s="69" t="s">
        <v>105</v>
      </c>
      <c r="G336" s="69" t="s">
        <v>105</v>
      </c>
      <c r="H336" s="69" t="s">
        <v>106</v>
      </c>
      <c r="I336" s="69" t="s">
        <v>118</v>
      </c>
      <c r="J336" s="72">
        <v>400</v>
      </c>
    </row>
    <row r="337" spans="1:10" ht="15" customHeight="1">
      <c r="A337" s="70">
        <v>43925</v>
      </c>
      <c r="B337" s="69" t="s">
        <v>454</v>
      </c>
      <c r="C337" s="69" t="s">
        <v>103</v>
      </c>
      <c r="D337" s="71">
        <v>7</v>
      </c>
      <c r="E337" s="69" t="s">
        <v>139</v>
      </c>
      <c r="F337" s="69" t="s">
        <v>120</v>
      </c>
      <c r="G337" s="69" t="s">
        <v>121</v>
      </c>
      <c r="H337" s="69" t="s">
        <v>128</v>
      </c>
      <c r="I337" s="69" t="s">
        <v>118</v>
      </c>
      <c r="J337" s="72">
        <v>78</v>
      </c>
    </row>
    <row r="338" spans="1:10" ht="15" customHeight="1">
      <c r="A338" s="70">
        <v>43925</v>
      </c>
      <c r="B338" s="69" t="s">
        <v>455</v>
      </c>
      <c r="C338" s="69" t="s">
        <v>103</v>
      </c>
      <c r="D338" s="71">
        <v>37</v>
      </c>
      <c r="E338" s="69" t="s">
        <v>113</v>
      </c>
      <c r="F338" s="69" t="s">
        <v>120</v>
      </c>
      <c r="G338" s="69" t="s">
        <v>121</v>
      </c>
      <c r="H338" s="69" t="s">
        <v>131</v>
      </c>
      <c r="I338" s="69" t="s">
        <v>129</v>
      </c>
      <c r="J338" s="72">
        <v>78</v>
      </c>
    </row>
    <row r="339" spans="1:10" ht="15" customHeight="1">
      <c r="A339" s="70">
        <v>43926</v>
      </c>
      <c r="B339" s="69" t="s">
        <v>456</v>
      </c>
      <c r="C339" s="69" t="s">
        <v>103</v>
      </c>
      <c r="D339" s="71">
        <v>38</v>
      </c>
      <c r="E339" s="69" t="s">
        <v>113</v>
      </c>
      <c r="F339" s="69" t="s">
        <v>120</v>
      </c>
      <c r="G339" s="69" t="s">
        <v>125</v>
      </c>
      <c r="H339" s="69" t="s">
        <v>131</v>
      </c>
      <c r="I339" s="69" t="s">
        <v>118</v>
      </c>
      <c r="J339" s="72">
        <v>65</v>
      </c>
    </row>
    <row r="340" spans="1:10" ht="15" customHeight="1">
      <c r="A340" s="70">
        <v>43926</v>
      </c>
      <c r="B340" s="69" t="s">
        <v>141</v>
      </c>
      <c r="C340" s="69" t="s">
        <v>116</v>
      </c>
      <c r="D340" s="71">
        <v>50</v>
      </c>
      <c r="E340" s="69" t="s">
        <v>109</v>
      </c>
      <c r="F340" s="69" t="s">
        <v>120</v>
      </c>
      <c r="G340" s="69" t="s">
        <v>125</v>
      </c>
      <c r="H340" s="69" t="s">
        <v>131</v>
      </c>
      <c r="I340" s="69" t="s">
        <v>129</v>
      </c>
      <c r="J340" s="72">
        <v>65</v>
      </c>
    </row>
    <row r="341" spans="1:10" ht="15" customHeight="1">
      <c r="A341" s="70">
        <v>43926</v>
      </c>
      <c r="B341" s="69" t="s">
        <v>457</v>
      </c>
      <c r="C341" s="69" t="s">
        <v>116</v>
      </c>
      <c r="D341" s="71">
        <v>15</v>
      </c>
      <c r="E341" s="69" t="s">
        <v>113</v>
      </c>
      <c r="F341" s="69" t="s">
        <v>120</v>
      </c>
      <c r="G341" s="69" t="s">
        <v>121</v>
      </c>
      <c r="H341" s="69" t="s">
        <v>117</v>
      </c>
      <c r="I341" s="69" t="s">
        <v>159</v>
      </c>
      <c r="J341" s="72">
        <v>78</v>
      </c>
    </row>
    <row r="342" spans="1:10" ht="15" customHeight="1">
      <c r="A342" s="70">
        <v>43926</v>
      </c>
      <c r="B342" s="69" t="s">
        <v>458</v>
      </c>
      <c r="C342" s="69" t="s">
        <v>116</v>
      </c>
      <c r="D342" s="71">
        <v>10</v>
      </c>
      <c r="E342" s="69" t="s">
        <v>113</v>
      </c>
      <c r="F342" s="69" t="s">
        <v>105</v>
      </c>
      <c r="G342" s="69" t="s">
        <v>105</v>
      </c>
      <c r="H342" s="69" t="s">
        <v>106</v>
      </c>
      <c r="I342" s="69" t="s">
        <v>107</v>
      </c>
      <c r="J342" s="72">
        <v>400</v>
      </c>
    </row>
    <row r="343" spans="1:10" ht="15" customHeight="1">
      <c r="A343" s="70">
        <v>43926</v>
      </c>
      <c r="B343" s="69" t="s">
        <v>459</v>
      </c>
      <c r="C343" s="69" t="s">
        <v>103</v>
      </c>
      <c r="D343" s="71">
        <v>74</v>
      </c>
      <c r="E343" s="69" t="s">
        <v>113</v>
      </c>
      <c r="F343" s="69" t="s">
        <v>105</v>
      </c>
      <c r="G343" s="69" t="s">
        <v>105</v>
      </c>
      <c r="H343" s="69" t="s">
        <v>106</v>
      </c>
      <c r="I343" s="69" t="s">
        <v>107</v>
      </c>
      <c r="J343" s="72">
        <v>400</v>
      </c>
    </row>
    <row r="344" spans="1:10" ht="15" customHeight="1">
      <c r="A344" s="70">
        <v>43927</v>
      </c>
      <c r="B344" s="69" t="s">
        <v>460</v>
      </c>
      <c r="C344" s="69" t="s">
        <v>116</v>
      </c>
      <c r="D344" s="71">
        <v>2</v>
      </c>
      <c r="E344" s="69" t="s">
        <v>139</v>
      </c>
      <c r="F344" s="69" t="s">
        <v>120</v>
      </c>
      <c r="G344" s="69" t="s">
        <v>121</v>
      </c>
      <c r="H344" s="69" t="s">
        <v>110</v>
      </c>
      <c r="I344" s="69" t="s">
        <v>118</v>
      </c>
      <c r="J344" s="72">
        <v>78</v>
      </c>
    </row>
    <row r="345" spans="1:10" ht="15" customHeight="1">
      <c r="A345" s="70">
        <v>43927</v>
      </c>
      <c r="B345" s="69" t="s">
        <v>461</v>
      </c>
      <c r="C345" s="69" t="s">
        <v>116</v>
      </c>
      <c r="D345" s="71">
        <v>15</v>
      </c>
      <c r="E345" s="69" t="s">
        <v>109</v>
      </c>
      <c r="F345" s="69" t="s">
        <v>105</v>
      </c>
      <c r="G345" s="69" t="s">
        <v>105</v>
      </c>
      <c r="H345" s="69" t="s">
        <v>110</v>
      </c>
      <c r="I345" s="69" t="s">
        <v>114</v>
      </c>
      <c r="J345" s="72">
        <v>400</v>
      </c>
    </row>
    <row r="346" spans="1:10" ht="15" customHeight="1">
      <c r="A346" s="70">
        <v>43928</v>
      </c>
      <c r="B346" s="69" t="s">
        <v>462</v>
      </c>
      <c r="C346" s="69" t="s">
        <v>103</v>
      </c>
      <c r="D346" s="71">
        <v>41</v>
      </c>
      <c r="E346" s="69" t="s">
        <v>104</v>
      </c>
      <c r="F346" s="69" t="s">
        <v>120</v>
      </c>
      <c r="G346" s="69" t="s">
        <v>125</v>
      </c>
      <c r="H346" s="69" t="s">
        <v>117</v>
      </c>
      <c r="I346" s="69" t="s">
        <v>118</v>
      </c>
      <c r="J346" s="72">
        <v>65</v>
      </c>
    </row>
    <row r="347" spans="1:10" ht="15" customHeight="1">
      <c r="A347" s="70">
        <v>43929</v>
      </c>
      <c r="B347" s="69" t="s">
        <v>463</v>
      </c>
      <c r="C347" s="69" t="s">
        <v>103</v>
      </c>
      <c r="D347" s="71">
        <v>53</v>
      </c>
      <c r="E347" s="69" t="s">
        <v>104</v>
      </c>
      <c r="F347" s="69" t="s">
        <v>105</v>
      </c>
      <c r="G347" s="69" t="s">
        <v>105</v>
      </c>
      <c r="H347" s="69" t="s">
        <v>106</v>
      </c>
      <c r="I347" s="69" t="s">
        <v>107</v>
      </c>
      <c r="J347" s="72">
        <v>400</v>
      </c>
    </row>
    <row r="348" spans="1:10" ht="15" customHeight="1">
      <c r="A348" s="70">
        <v>43929</v>
      </c>
      <c r="B348" s="69" t="s">
        <v>452</v>
      </c>
      <c r="C348" s="69" t="s">
        <v>103</v>
      </c>
      <c r="D348" s="71">
        <v>12</v>
      </c>
      <c r="E348" s="69" t="s">
        <v>109</v>
      </c>
      <c r="F348" s="69" t="s">
        <v>105</v>
      </c>
      <c r="G348" s="69" t="s">
        <v>105</v>
      </c>
      <c r="H348" s="69" t="s">
        <v>106</v>
      </c>
      <c r="I348" s="69" t="s">
        <v>114</v>
      </c>
      <c r="J348" s="72">
        <v>400</v>
      </c>
    </row>
    <row r="349" spans="1:10" ht="15" customHeight="1">
      <c r="A349" s="70">
        <v>43929</v>
      </c>
      <c r="B349" s="69" t="s">
        <v>464</v>
      </c>
      <c r="C349" s="69" t="s">
        <v>116</v>
      </c>
      <c r="D349" s="71">
        <v>47</v>
      </c>
      <c r="E349" s="69" t="s">
        <v>139</v>
      </c>
      <c r="F349" s="69" t="s">
        <v>105</v>
      </c>
      <c r="G349" s="69" t="s">
        <v>105</v>
      </c>
      <c r="H349" s="69" t="s">
        <v>106</v>
      </c>
      <c r="I349" s="69" t="s">
        <v>107</v>
      </c>
      <c r="J349" s="72">
        <v>400</v>
      </c>
    </row>
    <row r="350" spans="1:10" ht="15" customHeight="1">
      <c r="A350" s="70">
        <v>43929</v>
      </c>
      <c r="B350" s="69" t="s">
        <v>465</v>
      </c>
      <c r="C350" s="69" t="s">
        <v>103</v>
      </c>
      <c r="D350" s="71">
        <v>63</v>
      </c>
      <c r="E350" s="69" t="s">
        <v>139</v>
      </c>
      <c r="F350" s="69" t="s">
        <v>105</v>
      </c>
      <c r="G350" s="69" t="s">
        <v>105</v>
      </c>
      <c r="H350" s="69" t="s">
        <v>117</v>
      </c>
      <c r="I350" s="69" t="s">
        <v>129</v>
      </c>
      <c r="J350" s="72">
        <v>400</v>
      </c>
    </row>
    <row r="351" spans="1:10" ht="15" customHeight="1">
      <c r="A351" s="70">
        <v>43929</v>
      </c>
      <c r="B351" s="69" t="s">
        <v>466</v>
      </c>
      <c r="C351" s="69" t="s">
        <v>116</v>
      </c>
      <c r="D351" s="71">
        <v>22</v>
      </c>
      <c r="E351" s="69" t="s">
        <v>113</v>
      </c>
      <c r="F351" s="69" t="s">
        <v>120</v>
      </c>
      <c r="G351" s="69" t="s">
        <v>123</v>
      </c>
      <c r="H351" s="69" t="s">
        <v>117</v>
      </c>
      <c r="I351" s="69" t="s">
        <v>107</v>
      </c>
      <c r="J351" s="72">
        <v>90</v>
      </c>
    </row>
    <row r="352" spans="1:10" ht="15" customHeight="1">
      <c r="A352" s="70">
        <v>43930</v>
      </c>
      <c r="B352" s="69" t="s">
        <v>467</v>
      </c>
      <c r="C352" s="69" t="s">
        <v>116</v>
      </c>
      <c r="D352" s="71">
        <v>23</v>
      </c>
      <c r="E352" s="69" t="s">
        <v>104</v>
      </c>
      <c r="F352" s="69" t="s">
        <v>120</v>
      </c>
      <c r="G352" s="69" t="s">
        <v>142</v>
      </c>
      <c r="H352" s="69" t="s">
        <v>106</v>
      </c>
      <c r="I352" s="69" t="s">
        <v>118</v>
      </c>
      <c r="J352" s="72">
        <v>52</v>
      </c>
    </row>
    <row r="353" spans="1:10" ht="15" customHeight="1">
      <c r="A353" s="70">
        <v>43930</v>
      </c>
      <c r="B353" s="69" t="s">
        <v>468</v>
      </c>
      <c r="C353" s="69" t="s">
        <v>103</v>
      </c>
      <c r="D353" s="71">
        <v>66</v>
      </c>
      <c r="E353" s="69" t="s">
        <v>113</v>
      </c>
      <c r="F353" s="69" t="s">
        <v>105</v>
      </c>
      <c r="G353" s="69" t="s">
        <v>105</v>
      </c>
      <c r="H353" s="69" t="s">
        <v>131</v>
      </c>
      <c r="I353" s="69" t="s">
        <v>129</v>
      </c>
      <c r="J353" s="72">
        <v>400</v>
      </c>
    </row>
    <row r="354" spans="1:10" ht="15" customHeight="1">
      <c r="A354" s="70">
        <v>43931</v>
      </c>
      <c r="B354" s="69" t="s">
        <v>469</v>
      </c>
      <c r="C354" s="69" t="s">
        <v>116</v>
      </c>
      <c r="D354" s="71">
        <v>0</v>
      </c>
      <c r="E354" s="69" t="s">
        <v>139</v>
      </c>
      <c r="F354" s="69" t="s">
        <v>105</v>
      </c>
      <c r="G354" s="69" t="s">
        <v>105</v>
      </c>
      <c r="H354" s="69" t="s">
        <v>106</v>
      </c>
      <c r="I354" s="69" t="s">
        <v>107</v>
      </c>
      <c r="J354" s="72">
        <v>400</v>
      </c>
    </row>
    <row r="355" spans="1:10" ht="15" customHeight="1">
      <c r="A355" s="70">
        <v>43931</v>
      </c>
      <c r="B355" s="69" t="s">
        <v>470</v>
      </c>
      <c r="C355" s="69" t="s">
        <v>103</v>
      </c>
      <c r="D355" s="71">
        <v>25</v>
      </c>
      <c r="E355" s="69" t="s">
        <v>113</v>
      </c>
      <c r="F355" s="69" t="s">
        <v>120</v>
      </c>
      <c r="G355" s="69" t="s">
        <v>123</v>
      </c>
      <c r="H355" s="69" t="s">
        <v>128</v>
      </c>
      <c r="I355" s="69" t="s">
        <v>111</v>
      </c>
      <c r="J355" s="72">
        <v>90</v>
      </c>
    </row>
    <row r="356" spans="1:10" ht="15" customHeight="1">
      <c r="A356" s="70">
        <v>43931</v>
      </c>
      <c r="B356" s="69" t="s">
        <v>471</v>
      </c>
      <c r="C356" s="69" t="s">
        <v>103</v>
      </c>
      <c r="D356" s="71">
        <v>17</v>
      </c>
      <c r="E356" s="69" t="s">
        <v>109</v>
      </c>
      <c r="F356" s="69" t="s">
        <v>120</v>
      </c>
      <c r="G356" s="69" t="s">
        <v>121</v>
      </c>
      <c r="H356" s="69" t="s">
        <v>106</v>
      </c>
      <c r="I356" s="69" t="s">
        <v>111</v>
      </c>
      <c r="J356" s="72">
        <v>78</v>
      </c>
    </row>
    <row r="357" spans="1:10" ht="15" customHeight="1">
      <c r="A357" s="70">
        <v>43932</v>
      </c>
      <c r="B357" s="69" t="s">
        <v>472</v>
      </c>
      <c r="C357" s="69" t="s">
        <v>103</v>
      </c>
      <c r="D357" s="71">
        <v>68</v>
      </c>
      <c r="E357" s="69" t="s">
        <v>113</v>
      </c>
      <c r="F357" s="69" t="s">
        <v>120</v>
      </c>
      <c r="G357" s="69" t="s">
        <v>142</v>
      </c>
      <c r="H357" s="69" t="s">
        <v>106</v>
      </c>
      <c r="I357" s="69" t="s">
        <v>111</v>
      </c>
      <c r="J357" s="72">
        <v>52</v>
      </c>
    </row>
    <row r="358" spans="1:10" ht="15" customHeight="1">
      <c r="A358" s="70">
        <v>43932</v>
      </c>
      <c r="B358" s="69" t="s">
        <v>473</v>
      </c>
      <c r="C358" s="69" t="s">
        <v>116</v>
      </c>
      <c r="D358" s="71">
        <v>48</v>
      </c>
      <c r="E358" s="69" t="s">
        <v>113</v>
      </c>
      <c r="F358" s="69" t="s">
        <v>120</v>
      </c>
      <c r="G358" s="69" t="s">
        <v>123</v>
      </c>
      <c r="H358" s="69" t="s">
        <v>106</v>
      </c>
      <c r="I358" s="69" t="s">
        <v>111</v>
      </c>
      <c r="J358" s="72">
        <v>90</v>
      </c>
    </row>
    <row r="359" spans="1:10" ht="15" customHeight="1">
      <c r="A359" s="70">
        <v>43932</v>
      </c>
      <c r="B359" s="69" t="s">
        <v>474</v>
      </c>
      <c r="C359" s="69" t="s">
        <v>103</v>
      </c>
      <c r="D359" s="71">
        <v>74</v>
      </c>
      <c r="E359" s="69" t="s">
        <v>113</v>
      </c>
      <c r="F359" s="69" t="s">
        <v>105</v>
      </c>
      <c r="G359" s="69" t="s">
        <v>105</v>
      </c>
      <c r="H359" s="69" t="s">
        <v>128</v>
      </c>
      <c r="I359" s="69" t="s">
        <v>107</v>
      </c>
      <c r="J359" s="72">
        <v>400</v>
      </c>
    </row>
    <row r="360" spans="1:10" ht="15" customHeight="1">
      <c r="A360" s="70">
        <v>43932</v>
      </c>
      <c r="B360" s="69" t="s">
        <v>475</v>
      </c>
      <c r="C360" s="69" t="s">
        <v>116</v>
      </c>
      <c r="D360" s="71">
        <v>55</v>
      </c>
      <c r="E360" s="69" t="s">
        <v>139</v>
      </c>
      <c r="F360" s="69" t="s">
        <v>120</v>
      </c>
      <c r="G360" s="69" t="s">
        <v>121</v>
      </c>
      <c r="H360" s="69" t="s">
        <v>145</v>
      </c>
      <c r="I360" s="69" t="s">
        <v>114</v>
      </c>
      <c r="J360" s="72">
        <v>78</v>
      </c>
    </row>
    <row r="361" spans="1:10" ht="15" customHeight="1">
      <c r="A361" s="70">
        <v>43933</v>
      </c>
      <c r="B361" s="69" t="s">
        <v>476</v>
      </c>
      <c r="C361" s="69" t="s">
        <v>116</v>
      </c>
      <c r="D361" s="71">
        <v>65</v>
      </c>
      <c r="E361" s="69" t="s">
        <v>109</v>
      </c>
      <c r="F361" s="69" t="s">
        <v>105</v>
      </c>
      <c r="G361" s="69" t="s">
        <v>105</v>
      </c>
      <c r="H361" s="69" t="s">
        <v>106</v>
      </c>
      <c r="I361" s="69" t="s">
        <v>107</v>
      </c>
      <c r="J361" s="72">
        <v>400</v>
      </c>
    </row>
    <row r="362" spans="1:10" ht="15" customHeight="1">
      <c r="A362" s="70">
        <v>43933</v>
      </c>
      <c r="B362" s="69" t="s">
        <v>477</v>
      </c>
      <c r="C362" s="69" t="s">
        <v>103</v>
      </c>
      <c r="D362" s="71">
        <v>32</v>
      </c>
      <c r="E362" s="69" t="s">
        <v>139</v>
      </c>
      <c r="F362" s="69" t="s">
        <v>105</v>
      </c>
      <c r="G362" s="69" t="s">
        <v>105</v>
      </c>
      <c r="H362" s="69" t="s">
        <v>131</v>
      </c>
      <c r="I362" s="69" t="s">
        <v>114</v>
      </c>
      <c r="J362" s="72">
        <v>400</v>
      </c>
    </row>
    <row r="363" spans="1:10" ht="15" customHeight="1">
      <c r="A363" s="70">
        <v>43933</v>
      </c>
      <c r="B363" s="69" t="s">
        <v>478</v>
      </c>
      <c r="C363" s="69" t="s">
        <v>116</v>
      </c>
      <c r="D363" s="71">
        <v>2</v>
      </c>
      <c r="E363" s="69" t="s">
        <v>109</v>
      </c>
      <c r="F363" s="69" t="s">
        <v>105</v>
      </c>
      <c r="G363" s="69" t="s">
        <v>105</v>
      </c>
      <c r="H363" s="69" t="s">
        <v>128</v>
      </c>
      <c r="I363" s="69" t="s">
        <v>111</v>
      </c>
      <c r="J363" s="72">
        <v>400</v>
      </c>
    </row>
    <row r="364" spans="1:10" ht="15" customHeight="1">
      <c r="A364" s="70">
        <v>43934</v>
      </c>
      <c r="B364" s="69" t="s">
        <v>479</v>
      </c>
      <c r="C364" s="69" t="s">
        <v>116</v>
      </c>
      <c r="D364" s="71">
        <v>30</v>
      </c>
      <c r="E364" s="69" t="s">
        <v>113</v>
      </c>
      <c r="F364" s="69" t="s">
        <v>120</v>
      </c>
      <c r="G364" s="69" t="s">
        <v>121</v>
      </c>
      <c r="H364" s="69" t="s">
        <v>106</v>
      </c>
      <c r="I364" s="69" t="s">
        <v>129</v>
      </c>
      <c r="J364" s="72">
        <v>78</v>
      </c>
    </row>
    <row r="365" spans="1:10" ht="15" customHeight="1">
      <c r="A365" s="70">
        <v>43934</v>
      </c>
      <c r="B365" s="69" t="s">
        <v>480</v>
      </c>
      <c r="C365" s="69" t="s">
        <v>116</v>
      </c>
      <c r="D365" s="71">
        <v>25</v>
      </c>
      <c r="E365" s="69" t="s">
        <v>139</v>
      </c>
      <c r="F365" s="69" t="s">
        <v>120</v>
      </c>
      <c r="G365" s="69" t="s">
        <v>121</v>
      </c>
      <c r="H365" s="69" t="s">
        <v>106</v>
      </c>
      <c r="I365" s="69" t="s">
        <v>114</v>
      </c>
      <c r="J365" s="72">
        <v>78</v>
      </c>
    </row>
    <row r="366" spans="1:10" ht="15" customHeight="1">
      <c r="A366" s="70">
        <v>43934</v>
      </c>
      <c r="B366" s="69" t="s">
        <v>481</v>
      </c>
      <c r="C366" s="69" t="s">
        <v>103</v>
      </c>
      <c r="D366" s="71">
        <v>75</v>
      </c>
      <c r="E366" s="69" t="s">
        <v>104</v>
      </c>
      <c r="F366" s="69" t="s">
        <v>105</v>
      </c>
      <c r="G366" s="69" t="s">
        <v>105</v>
      </c>
      <c r="H366" s="69" t="s">
        <v>110</v>
      </c>
      <c r="I366" s="69" t="s">
        <v>107</v>
      </c>
      <c r="J366" s="72">
        <v>400</v>
      </c>
    </row>
    <row r="367" spans="1:10" ht="15" customHeight="1">
      <c r="A367" s="70">
        <v>43934</v>
      </c>
      <c r="B367" s="69" t="s">
        <v>482</v>
      </c>
      <c r="C367" s="69" t="s">
        <v>116</v>
      </c>
      <c r="D367" s="71">
        <v>14</v>
      </c>
      <c r="E367" s="69" t="s">
        <v>104</v>
      </c>
      <c r="F367" s="69" t="s">
        <v>105</v>
      </c>
      <c r="G367" s="69" t="s">
        <v>105</v>
      </c>
      <c r="H367" s="69" t="s">
        <v>117</v>
      </c>
      <c r="I367" s="69" t="s">
        <v>107</v>
      </c>
      <c r="J367" s="72">
        <v>400</v>
      </c>
    </row>
    <row r="368" spans="1:10" ht="15" customHeight="1">
      <c r="A368" s="70">
        <v>43934</v>
      </c>
      <c r="B368" s="69" t="s">
        <v>483</v>
      </c>
      <c r="C368" s="69" t="s">
        <v>116</v>
      </c>
      <c r="D368" s="71">
        <v>6</v>
      </c>
      <c r="E368" s="69" t="s">
        <v>113</v>
      </c>
      <c r="F368" s="69" t="s">
        <v>105</v>
      </c>
      <c r="G368" s="69" t="s">
        <v>105</v>
      </c>
      <c r="H368" s="69" t="s">
        <v>145</v>
      </c>
      <c r="I368" s="69" t="s">
        <v>114</v>
      </c>
      <c r="J368" s="72">
        <v>400</v>
      </c>
    </row>
    <row r="369" spans="1:10" ht="15" customHeight="1">
      <c r="A369" s="70">
        <v>43935</v>
      </c>
      <c r="B369" s="69" t="s">
        <v>484</v>
      </c>
      <c r="C369" s="69" t="s">
        <v>103</v>
      </c>
      <c r="D369" s="71">
        <v>71</v>
      </c>
      <c r="E369" s="69" t="s">
        <v>139</v>
      </c>
      <c r="F369" s="69" t="s">
        <v>105</v>
      </c>
      <c r="G369" s="69" t="s">
        <v>105</v>
      </c>
      <c r="H369" s="69" t="s">
        <v>110</v>
      </c>
      <c r="I369" s="69" t="s">
        <v>159</v>
      </c>
      <c r="J369" s="72">
        <v>400</v>
      </c>
    </row>
    <row r="370" spans="1:10" ht="15" customHeight="1">
      <c r="A370" s="70">
        <v>43935</v>
      </c>
      <c r="B370" s="69" t="s">
        <v>485</v>
      </c>
      <c r="C370" s="69" t="s">
        <v>116</v>
      </c>
      <c r="D370" s="71">
        <v>53</v>
      </c>
      <c r="E370" s="69" t="s">
        <v>109</v>
      </c>
      <c r="F370" s="69" t="s">
        <v>120</v>
      </c>
      <c r="G370" s="69" t="s">
        <v>121</v>
      </c>
      <c r="H370" s="69" t="s">
        <v>137</v>
      </c>
      <c r="I370" s="69" t="s">
        <v>159</v>
      </c>
      <c r="J370" s="72">
        <v>78</v>
      </c>
    </row>
    <row r="371" spans="1:10" ht="15" customHeight="1">
      <c r="A371" s="70">
        <v>43935</v>
      </c>
      <c r="B371" s="69" t="s">
        <v>486</v>
      </c>
      <c r="C371" s="69" t="s">
        <v>103</v>
      </c>
      <c r="D371" s="71">
        <v>1</v>
      </c>
      <c r="E371" s="69" t="s">
        <v>139</v>
      </c>
      <c r="F371" s="69" t="s">
        <v>105</v>
      </c>
      <c r="G371" s="69" t="s">
        <v>105</v>
      </c>
      <c r="H371" s="69" t="s">
        <v>137</v>
      </c>
      <c r="I371" s="69" t="s">
        <v>159</v>
      </c>
      <c r="J371" s="72">
        <v>400</v>
      </c>
    </row>
    <row r="372" spans="1:10" ht="15" customHeight="1">
      <c r="A372" s="70">
        <v>43935</v>
      </c>
      <c r="B372" s="69" t="s">
        <v>487</v>
      </c>
      <c r="C372" s="69" t="s">
        <v>103</v>
      </c>
      <c r="D372" s="71">
        <v>26</v>
      </c>
      <c r="E372" s="69" t="s">
        <v>104</v>
      </c>
      <c r="F372" s="69" t="s">
        <v>105</v>
      </c>
      <c r="G372" s="69" t="s">
        <v>105</v>
      </c>
      <c r="H372" s="69" t="s">
        <v>106</v>
      </c>
      <c r="I372" s="69" t="s">
        <v>129</v>
      </c>
      <c r="J372" s="72">
        <v>400</v>
      </c>
    </row>
    <row r="373" spans="1:10" ht="15" customHeight="1">
      <c r="A373" s="70">
        <v>43935</v>
      </c>
      <c r="B373" s="69" t="s">
        <v>488</v>
      </c>
      <c r="C373" s="69" t="s">
        <v>103</v>
      </c>
      <c r="D373" s="71">
        <v>71</v>
      </c>
      <c r="E373" s="69" t="s">
        <v>139</v>
      </c>
      <c r="F373" s="69" t="s">
        <v>105</v>
      </c>
      <c r="G373" s="69" t="s">
        <v>105</v>
      </c>
      <c r="H373" s="69" t="s">
        <v>137</v>
      </c>
      <c r="I373" s="69" t="s">
        <v>118</v>
      </c>
      <c r="J373" s="72">
        <v>400</v>
      </c>
    </row>
    <row r="374" spans="1:10" ht="15" customHeight="1">
      <c r="A374" s="70">
        <v>43935</v>
      </c>
      <c r="B374" s="69" t="s">
        <v>489</v>
      </c>
      <c r="C374" s="69" t="s">
        <v>116</v>
      </c>
      <c r="D374" s="71">
        <v>67</v>
      </c>
      <c r="E374" s="69" t="s">
        <v>113</v>
      </c>
      <c r="F374" s="69" t="s">
        <v>120</v>
      </c>
      <c r="G374" s="69" t="s">
        <v>121</v>
      </c>
      <c r="H374" s="69" t="s">
        <v>145</v>
      </c>
      <c r="I374" s="69" t="s">
        <v>129</v>
      </c>
      <c r="J374" s="72">
        <v>78</v>
      </c>
    </row>
    <row r="375" spans="1:10" ht="15" customHeight="1">
      <c r="A375" s="70">
        <v>43936</v>
      </c>
      <c r="B375" s="69" t="s">
        <v>490</v>
      </c>
      <c r="C375" s="69" t="s">
        <v>116</v>
      </c>
      <c r="D375" s="71">
        <v>28</v>
      </c>
      <c r="E375" s="69" t="s">
        <v>104</v>
      </c>
      <c r="F375" s="69" t="s">
        <v>120</v>
      </c>
      <c r="G375" s="69" t="s">
        <v>121</v>
      </c>
      <c r="H375" s="69" t="s">
        <v>137</v>
      </c>
      <c r="I375" s="69" t="s">
        <v>114</v>
      </c>
      <c r="J375" s="72">
        <v>78</v>
      </c>
    </row>
    <row r="376" spans="1:10" ht="15" customHeight="1">
      <c r="A376" s="70">
        <v>43936</v>
      </c>
      <c r="B376" s="69" t="s">
        <v>491</v>
      </c>
      <c r="C376" s="69" t="s">
        <v>103</v>
      </c>
      <c r="D376" s="71">
        <v>16</v>
      </c>
      <c r="E376" s="69" t="s">
        <v>139</v>
      </c>
      <c r="F376" s="69" t="s">
        <v>120</v>
      </c>
      <c r="G376" s="69" t="s">
        <v>125</v>
      </c>
      <c r="H376" s="69" t="s">
        <v>117</v>
      </c>
      <c r="I376" s="69" t="s">
        <v>114</v>
      </c>
      <c r="J376" s="72">
        <v>65</v>
      </c>
    </row>
    <row r="377" spans="1:10" ht="15" customHeight="1">
      <c r="A377" s="70">
        <v>43936</v>
      </c>
      <c r="B377" s="69" t="s">
        <v>492</v>
      </c>
      <c r="C377" s="69" t="s">
        <v>103</v>
      </c>
      <c r="D377" s="71">
        <v>38</v>
      </c>
      <c r="E377" s="69" t="s">
        <v>113</v>
      </c>
      <c r="F377" s="69" t="s">
        <v>105</v>
      </c>
      <c r="G377" s="69" t="s">
        <v>105</v>
      </c>
      <c r="H377" s="69" t="s">
        <v>137</v>
      </c>
      <c r="I377" s="69" t="s">
        <v>129</v>
      </c>
      <c r="J377" s="72">
        <v>400</v>
      </c>
    </row>
    <row r="378" spans="1:10" ht="15" customHeight="1">
      <c r="A378" s="70">
        <v>43936</v>
      </c>
      <c r="B378" s="69" t="s">
        <v>493</v>
      </c>
      <c r="C378" s="69" t="s">
        <v>116</v>
      </c>
      <c r="D378" s="71">
        <v>3</v>
      </c>
      <c r="E378" s="69" t="s">
        <v>113</v>
      </c>
      <c r="F378" s="69" t="s">
        <v>105</v>
      </c>
      <c r="G378" s="69" t="s">
        <v>105</v>
      </c>
      <c r="H378" s="69" t="s">
        <v>145</v>
      </c>
      <c r="I378" s="69" t="s">
        <v>111</v>
      </c>
      <c r="J378" s="72">
        <v>400</v>
      </c>
    </row>
    <row r="379" spans="1:10" ht="15" customHeight="1">
      <c r="A379" s="70">
        <v>43936</v>
      </c>
      <c r="B379" s="69" t="s">
        <v>494</v>
      </c>
      <c r="C379" s="69" t="s">
        <v>116</v>
      </c>
      <c r="D379" s="71">
        <v>52</v>
      </c>
      <c r="E379" s="69" t="s">
        <v>109</v>
      </c>
      <c r="F379" s="69" t="s">
        <v>120</v>
      </c>
      <c r="G379" s="69" t="s">
        <v>121</v>
      </c>
      <c r="H379" s="69" t="s">
        <v>137</v>
      </c>
      <c r="I379" s="69" t="s">
        <v>111</v>
      </c>
      <c r="J379" s="72">
        <v>78</v>
      </c>
    </row>
    <row r="380" spans="1:10" ht="15" customHeight="1">
      <c r="A380" s="70">
        <v>43936</v>
      </c>
      <c r="B380" s="69" t="s">
        <v>495</v>
      </c>
      <c r="C380" s="69" t="s">
        <v>116</v>
      </c>
      <c r="D380" s="71">
        <v>13</v>
      </c>
      <c r="E380" s="69" t="s">
        <v>104</v>
      </c>
      <c r="F380" s="69" t="s">
        <v>105</v>
      </c>
      <c r="G380" s="69" t="s">
        <v>105</v>
      </c>
      <c r="H380" s="69" t="s">
        <v>106</v>
      </c>
      <c r="I380" s="69" t="s">
        <v>118</v>
      </c>
      <c r="J380" s="72">
        <v>400</v>
      </c>
    </row>
    <row r="381" spans="1:10" ht="15" customHeight="1">
      <c r="A381" s="70">
        <v>43936</v>
      </c>
      <c r="B381" s="69" t="s">
        <v>496</v>
      </c>
      <c r="C381" s="69" t="s">
        <v>103</v>
      </c>
      <c r="D381" s="71">
        <v>52</v>
      </c>
      <c r="E381" s="69" t="s">
        <v>113</v>
      </c>
      <c r="F381" s="69" t="s">
        <v>120</v>
      </c>
      <c r="G381" s="69" t="s">
        <v>123</v>
      </c>
      <c r="H381" s="69" t="s">
        <v>137</v>
      </c>
      <c r="I381" s="69" t="s">
        <v>111</v>
      </c>
      <c r="J381" s="72">
        <v>90</v>
      </c>
    </row>
    <row r="382" spans="1:10" ht="15" customHeight="1">
      <c r="A382" s="70">
        <v>43937</v>
      </c>
      <c r="B382" s="69" t="s">
        <v>497</v>
      </c>
      <c r="C382" s="69" t="s">
        <v>103</v>
      </c>
      <c r="D382" s="71">
        <v>25</v>
      </c>
      <c r="E382" s="69" t="s">
        <v>104</v>
      </c>
      <c r="F382" s="69" t="s">
        <v>120</v>
      </c>
      <c r="G382" s="69" t="s">
        <v>121</v>
      </c>
      <c r="H382" s="69" t="s">
        <v>117</v>
      </c>
      <c r="I382" s="69" t="s">
        <v>114</v>
      </c>
      <c r="J382" s="72">
        <v>78</v>
      </c>
    </row>
    <row r="383" spans="1:10" ht="15" customHeight="1">
      <c r="A383" s="70">
        <v>43937</v>
      </c>
      <c r="B383" s="69" t="s">
        <v>498</v>
      </c>
      <c r="C383" s="69" t="s">
        <v>116</v>
      </c>
      <c r="D383" s="71">
        <v>21</v>
      </c>
      <c r="E383" s="69" t="s">
        <v>109</v>
      </c>
      <c r="F383" s="69" t="s">
        <v>105</v>
      </c>
      <c r="G383" s="69" t="s">
        <v>105</v>
      </c>
      <c r="H383" s="69" t="s">
        <v>137</v>
      </c>
      <c r="I383" s="69" t="s">
        <v>159</v>
      </c>
      <c r="J383" s="72">
        <v>400</v>
      </c>
    </row>
    <row r="384" spans="1:10" ht="15" customHeight="1">
      <c r="A384" s="70">
        <v>43937</v>
      </c>
      <c r="B384" s="69" t="s">
        <v>499</v>
      </c>
      <c r="C384" s="69" t="s">
        <v>116</v>
      </c>
      <c r="D384" s="71">
        <v>48</v>
      </c>
      <c r="E384" s="69" t="s">
        <v>113</v>
      </c>
      <c r="F384" s="69" t="s">
        <v>120</v>
      </c>
      <c r="G384" s="69" t="s">
        <v>123</v>
      </c>
      <c r="H384" s="69" t="s">
        <v>145</v>
      </c>
      <c r="I384" s="69" t="s">
        <v>111</v>
      </c>
      <c r="J384" s="72">
        <v>90</v>
      </c>
    </row>
    <row r="385" spans="1:10" ht="15" customHeight="1">
      <c r="A385" s="70">
        <v>43937</v>
      </c>
      <c r="B385" s="69" t="s">
        <v>500</v>
      </c>
      <c r="C385" s="69" t="s">
        <v>116</v>
      </c>
      <c r="D385" s="71">
        <v>63</v>
      </c>
      <c r="E385" s="69" t="s">
        <v>139</v>
      </c>
      <c r="F385" s="69" t="s">
        <v>105</v>
      </c>
      <c r="G385" s="69" t="s">
        <v>105</v>
      </c>
      <c r="H385" s="69" t="s">
        <v>126</v>
      </c>
      <c r="I385" s="69" t="s">
        <v>118</v>
      </c>
      <c r="J385" s="72">
        <v>400</v>
      </c>
    </row>
    <row r="386" spans="1:10" ht="15" customHeight="1">
      <c r="A386" s="70">
        <v>43937</v>
      </c>
      <c r="B386" s="69" t="s">
        <v>501</v>
      </c>
      <c r="C386" s="69" t="s">
        <v>103</v>
      </c>
      <c r="D386" s="71">
        <v>31</v>
      </c>
      <c r="E386" s="69" t="s">
        <v>139</v>
      </c>
      <c r="F386" s="69" t="s">
        <v>120</v>
      </c>
      <c r="G386" s="69" t="s">
        <v>121</v>
      </c>
      <c r="H386" s="69" t="s">
        <v>117</v>
      </c>
      <c r="I386" s="69" t="s">
        <v>111</v>
      </c>
      <c r="J386" s="72">
        <v>78</v>
      </c>
    </row>
    <row r="387" spans="1:10" ht="15" customHeight="1">
      <c r="A387" s="70">
        <v>43937</v>
      </c>
      <c r="B387" s="69" t="s">
        <v>502</v>
      </c>
      <c r="C387" s="69" t="s">
        <v>116</v>
      </c>
      <c r="D387" s="71">
        <v>53</v>
      </c>
      <c r="E387" s="69" t="s">
        <v>113</v>
      </c>
      <c r="F387" s="69" t="s">
        <v>105</v>
      </c>
      <c r="G387" s="69" t="s">
        <v>105</v>
      </c>
      <c r="H387" s="69" t="s">
        <v>128</v>
      </c>
      <c r="I387" s="69" t="s">
        <v>111</v>
      </c>
      <c r="J387" s="72">
        <v>400</v>
      </c>
    </row>
    <row r="388" spans="1:10" ht="15" customHeight="1">
      <c r="A388" s="70">
        <v>43938</v>
      </c>
      <c r="B388" s="69" t="s">
        <v>503</v>
      </c>
      <c r="C388" s="69" t="s">
        <v>116</v>
      </c>
      <c r="D388" s="71">
        <v>61</v>
      </c>
      <c r="E388" s="69" t="s">
        <v>109</v>
      </c>
      <c r="F388" s="69" t="s">
        <v>105</v>
      </c>
      <c r="G388" s="69" t="s">
        <v>105</v>
      </c>
      <c r="H388" s="69" t="s">
        <v>128</v>
      </c>
      <c r="I388" s="69" t="s">
        <v>107</v>
      </c>
      <c r="J388" s="72">
        <v>400</v>
      </c>
    </row>
    <row r="389" spans="1:10" ht="15" customHeight="1">
      <c r="A389" s="70">
        <v>43938</v>
      </c>
      <c r="B389" s="69" t="s">
        <v>504</v>
      </c>
      <c r="C389" s="69" t="s">
        <v>116</v>
      </c>
      <c r="D389" s="71">
        <v>0</v>
      </c>
      <c r="E389" s="69" t="s">
        <v>104</v>
      </c>
      <c r="F389" s="69" t="s">
        <v>120</v>
      </c>
      <c r="G389" s="69" t="s">
        <v>125</v>
      </c>
      <c r="H389" s="69" t="s">
        <v>137</v>
      </c>
      <c r="I389" s="69" t="s">
        <v>111</v>
      </c>
      <c r="J389" s="72">
        <v>65</v>
      </c>
    </row>
    <row r="390" spans="1:10" ht="15" customHeight="1">
      <c r="A390" s="70">
        <v>43938</v>
      </c>
      <c r="B390" s="69" t="s">
        <v>505</v>
      </c>
      <c r="C390" s="69" t="s">
        <v>116</v>
      </c>
      <c r="D390" s="71">
        <v>71</v>
      </c>
      <c r="E390" s="69" t="s">
        <v>109</v>
      </c>
      <c r="F390" s="69" t="s">
        <v>105</v>
      </c>
      <c r="G390" s="69" t="s">
        <v>105</v>
      </c>
      <c r="H390" s="69" t="s">
        <v>106</v>
      </c>
      <c r="I390" s="69" t="s">
        <v>111</v>
      </c>
      <c r="J390" s="72">
        <v>400</v>
      </c>
    </row>
    <row r="391" spans="1:10" ht="15" customHeight="1">
      <c r="A391" s="70">
        <v>43938</v>
      </c>
      <c r="B391" s="69" t="s">
        <v>506</v>
      </c>
      <c r="C391" s="69" t="s">
        <v>103</v>
      </c>
      <c r="D391" s="71">
        <v>2</v>
      </c>
      <c r="E391" s="69" t="s">
        <v>104</v>
      </c>
      <c r="F391" s="69" t="s">
        <v>105</v>
      </c>
      <c r="G391" s="69" t="s">
        <v>105</v>
      </c>
      <c r="H391" s="69" t="s">
        <v>128</v>
      </c>
      <c r="I391" s="69" t="s">
        <v>114</v>
      </c>
      <c r="J391" s="72">
        <v>400</v>
      </c>
    </row>
    <row r="392" spans="1:10" ht="15" customHeight="1">
      <c r="A392" s="70">
        <v>43938</v>
      </c>
      <c r="B392" s="69" t="s">
        <v>507</v>
      </c>
      <c r="C392" s="69" t="s">
        <v>103</v>
      </c>
      <c r="D392" s="71">
        <v>27</v>
      </c>
      <c r="E392" s="69" t="s">
        <v>139</v>
      </c>
      <c r="F392" s="69" t="s">
        <v>120</v>
      </c>
      <c r="G392" s="69" t="s">
        <v>121</v>
      </c>
      <c r="H392" s="69" t="s">
        <v>106</v>
      </c>
      <c r="I392" s="69" t="s">
        <v>118</v>
      </c>
      <c r="J392" s="72">
        <v>78</v>
      </c>
    </row>
    <row r="393" spans="1:10" ht="15" customHeight="1">
      <c r="A393" s="70">
        <v>43939</v>
      </c>
      <c r="B393" s="69" t="s">
        <v>508</v>
      </c>
      <c r="C393" s="69" t="s">
        <v>103</v>
      </c>
      <c r="D393" s="71">
        <v>25</v>
      </c>
      <c r="E393" s="69" t="s">
        <v>109</v>
      </c>
      <c r="F393" s="69" t="s">
        <v>105</v>
      </c>
      <c r="G393" s="69" t="s">
        <v>105</v>
      </c>
      <c r="H393" s="69" t="s">
        <v>128</v>
      </c>
      <c r="I393" s="69" t="s">
        <v>129</v>
      </c>
      <c r="J393" s="72">
        <v>400</v>
      </c>
    </row>
    <row r="394" spans="1:10" ht="15" customHeight="1">
      <c r="A394" s="70">
        <v>43939</v>
      </c>
      <c r="B394" s="69" t="s">
        <v>509</v>
      </c>
      <c r="C394" s="69" t="s">
        <v>116</v>
      </c>
      <c r="D394" s="71">
        <v>48</v>
      </c>
      <c r="E394" s="69" t="s">
        <v>113</v>
      </c>
      <c r="F394" s="69" t="s">
        <v>105</v>
      </c>
      <c r="G394" s="69" t="s">
        <v>105</v>
      </c>
      <c r="H394" s="69" t="s">
        <v>106</v>
      </c>
      <c r="I394" s="69" t="s">
        <v>129</v>
      </c>
      <c r="J394" s="72">
        <v>400</v>
      </c>
    </row>
    <row r="395" spans="1:10" ht="15" customHeight="1">
      <c r="A395" s="70">
        <v>43939</v>
      </c>
      <c r="B395" s="69" t="s">
        <v>510</v>
      </c>
      <c r="C395" s="69" t="s">
        <v>103</v>
      </c>
      <c r="D395" s="71">
        <v>41</v>
      </c>
      <c r="E395" s="69" t="s">
        <v>104</v>
      </c>
      <c r="F395" s="69" t="s">
        <v>105</v>
      </c>
      <c r="G395" s="69" t="s">
        <v>105</v>
      </c>
      <c r="H395" s="69" t="s">
        <v>117</v>
      </c>
      <c r="I395" s="69" t="s">
        <v>111</v>
      </c>
      <c r="J395" s="72">
        <v>400</v>
      </c>
    </row>
    <row r="396" spans="1:10" ht="15" customHeight="1">
      <c r="A396" s="70">
        <v>43940</v>
      </c>
      <c r="B396" s="69" t="s">
        <v>511</v>
      </c>
      <c r="C396" s="69" t="s">
        <v>116</v>
      </c>
      <c r="D396" s="71">
        <v>48</v>
      </c>
      <c r="E396" s="69" t="s">
        <v>113</v>
      </c>
      <c r="F396" s="69" t="s">
        <v>120</v>
      </c>
      <c r="G396" s="69" t="s">
        <v>125</v>
      </c>
      <c r="H396" s="69" t="s">
        <v>145</v>
      </c>
      <c r="I396" s="69" t="s">
        <v>114</v>
      </c>
      <c r="J396" s="72">
        <v>65</v>
      </c>
    </row>
    <row r="397" spans="1:10" ht="15" customHeight="1">
      <c r="A397" s="70">
        <v>43940</v>
      </c>
      <c r="B397" s="69" t="s">
        <v>512</v>
      </c>
      <c r="C397" s="69" t="s">
        <v>103</v>
      </c>
      <c r="D397" s="71">
        <v>20</v>
      </c>
      <c r="E397" s="69" t="s">
        <v>113</v>
      </c>
      <c r="F397" s="69" t="s">
        <v>105</v>
      </c>
      <c r="G397" s="69" t="s">
        <v>105</v>
      </c>
      <c r="H397" s="69" t="s">
        <v>128</v>
      </c>
      <c r="I397" s="69" t="s">
        <v>114</v>
      </c>
      <c r="J397" s="72">
        <v>400</v>
      </c>
    </row>
    <row r="398" spans="1:10" ht="15" customHeight="1">
      <c r="A398" s="70">
        <v>43940</v>
      </c>
      <c r="B398" s="69" t="s">
        <v>513</v>
      </c>
      <c r="C398" s="69" t="s">
        <v>103</v>
      </c>
      <c r="D398" s="71">
        <v>14</v>
      </c>
      <c r="E398" s="69" t="s">
        <v>109</v>
      </c>
      <c r="F398" s="69" t="s">
        <v>105</v>
      </c>
      <c r="G398" s="69" t="s">
        <v>105</v>
      </c>
      <c r="H398" s="69" t="s">
        <v>110</v>
      </c>
      <c r="I398" s="69" t="s">
        <v>111</v>
      </c>
      <c r="J398" s="72">
        <v>400</v>
      </c>
    </row>
    <row r="399" spans="1:10" ht="15" customHeight="1">
      <c r="A399" s="70">
        <v>43940</v>
      </c>
      <c r="B399" s="69" t="s">
        <v>514</v>
      </c>
      <c r="C399" s="69" t="s">
        <v>103</v>
      </c>
      <c r="D399" s="71">
        <v>6</v>
      </c>
      <c r="E399" s="69" t="s">
        <v>104</v>
      </c>
      <c r="F399" s="69" t="s">
        <v>120</v>
      </c>
      <c r="G399" s="69" t="s">
        <v>123</v>
      </c>
      <c r="H399" s="69" t="s">
        <v>117</v>
      </c>
      <c r="I399" s="69" t="s">
        <v>107</v>
      </c>
      <c r="J399" s="72">
        <v>90</v>
      </c>
    </row>
    <row r="400" spans="1:10" ht="15" customHeight="1">
      <c r="A400" s="70">
        <v>43940</v>
      </c>
      <c r="B400" s="69" t="s">
        <v>515</v>
      </c>
      <c r="C400" s="69" t="s">
        <v>103</v>
      </c>
      <c r="D400" s="71">
        <v>16</v>
      </c>
      <c r="E400" s="69" t="s">
        <v>113</v>
      </c>
      <c r="F400" s="69" t="s">
        <v>105</v>
      </c>
      <c r="G400" s="69" t="s">
        <v>105</v>
      </c>
      <c r="H400" s="69" t="s">
        <v>145</v>
      </c>
      <c r="I400" s="69" t="s">
        <v>114</v>
      </c>
      <c r="J400" s="72">
        <v>400</v>
      </c>
    </row>
    <row r="401" spans="1:10" ht="15" customHeight="1">
      <c r="A401" s="70">
        <v>43941</v>
      </c>
      <c r="B401" s="69" t="s">
        <v>516</v>
      </c>
      <c r="C401" s="69" t="s">
        <v>103</v>
      </c>
      <c r="D401" s="71">
        <v>13</v>
      </c>
      <c r="E401" s="69" t="s">
        <v>139</v>
      </c>
      <c r="F401" s="69" t="s">
        <v>105</v>
      </c>
      <c r="G401" s="69" t="s">
        <v>105</v>
      </c>
      <c r="H401" s="69" t="s">
        <v>126</v>
      </c>
      <c r="I401" s="69" t="s">
        <v>129</v>
      </c>
      <c r="J401" s="72">
        <v>400</v>
      </c>
    </row>
    <row r="402" spans="1:10" ht="15" customHeight="1">
      <c r="A402" s="70">
        <v>43941</v>
      </c>
      <c r="B402" s="69" t="s">
        <v>517</v>
      </c>
      <c r="C402" s="69" t="s">
        <v>103</v>
      </c>
      <c r="D402" s="71">
        <v>45</v>
      </c>
      <c r="E402" s="69" t="s">
        <v>104</v>
      </c>
      <c r="F402" s="69" t="s">
        <v>105</v>
      </c>
      <c r="G402" s="69" t="s">
        <v>105</v>
      </c>
      <c r="H402" s="69" t="s">
        <v>106</v>
      </c>
      <c r="I402" s="69" t="s">
        <v>159</v>
      </c>
      <c r="J402" s="72">
        <v>400</v>
      </c>
    </row>
    <row r="403" spans="1:10" ht="15" customHeight="1">
      <c r="A403" s="70">
        <v>43941</v>
      </c>
      <c r="B403" s="69" t="s">
        <v>518</v>
      </c>
      <c r="C403" s="69" t="s">
        <v>103</v>
      </c>
      <c r="D403" s="71">
        <v>26</v>
      </c>
      <c r="E403" s="69" t="s">
        <v>113</v>
      </c>
      <c r="F403" s="69" t="s">
        <v>120</v>
      </c>
      <c r="G403" s="69" t="s">
        <v>125</v>
      </c>
      <c r="H403" s="69" t="s">
        <v>131</v>
      </c>
      <c r="I403" s="69" t="s">
        <v>129</v>
      </c>
      <c r="J403" s="72">
        <v>65</v>
      </c>
    </row>
    <row r="404" spans="1:10" ht="15" customHeight="1">
      <c r="A404" s="70">
        <v>43942</v>
      </c>
      <c r="B404" s="69" t="s">
        <v>519</v>
      </c>
      <c r="C404" s="69" t="s">
        <v>103</v>
      </c>
      <c r="D404" s="71">
        <v>55</v>
      </c>
      <c r="E404" s="69" t="s">
        <v>104</v>
      </c>
      <c r="F404" s="69" t="s">
        <v>105</v>
      </c>
      <c r="G404" s="69" t="s">
        <v>105</v>
      </c>
      <c r="H404" s="69" t="s">
        <v>131</v>
      </c>
      <c r="I404" s="69" t="s">
        <v>129</v>
      </c>
      <c r="J404" s="72">
        <v>400</v>
      </c>
    </row>
    <row r="405" spans="1:10" ht="15" customHeight="1">
      <c r="A405" s="70">
        <v>43942</v>
      </c>
      <c r="B405" s="69" t="s">
        <v>520</v>
      </c>
      <c r="C405" s="69" t="s">
        <v>116</v>
      </c>
      <c r="D405" s="71">
        <v>19</v>
      </c>
      <c r="E405" s="69" t="s">
        <v>104</v>
      </c>
      <c r="F405" s="69" t="s">
        <v>120</v>
      </c>
      <c r="G405" s="69" t="s">
        <v>121</v>
      </c>
      <c r="H405" s="69" t="s">
        <v>131</v>
      </c>
      <c r="I405" s="69" t="s">
        <v>159</v>
      </c>
      <c r="J405" s="72">
        <v>78</v>
      </c>
    </row>
    <row r="406" spans="1:10" ht="15" customHeight="1">
      <c r="A406" s="70">
        <v>43942</v>
      </c>
      <c r="B406" s="69" t="s">
        <v>521</v>
      </c>
      <c r="C406" s="69" t="s">
        <v>116</v>
      </c>
      <c r="D406" s="71">
        <v>20</v>
      </c>
      <c r="E406" s="69" t="s">
        <v>113</v>
      </c>
      <c r="F406" s="69" t="s">
        <v>120</v>
      </c>
      <c r="G406" s="69" t="s">
        <v>121</v>
      </c>
      <c r="H406" s="69" t="s">
        <v>137</v>
      </c>
      <c r="I406" s="69" t="s">
        <v>129</v>
      </c>
      <c r="J406" s="72">
        <v>78</v>
      </c>
    </row>
    <row r="407" spans="1:10" ht="15" customHeight="1">
      <c r="A407" s="70">
        <v>43942</v>
      </c>
      <c r="B407" s="69" t="s">
        <v>522</v>
      </c>
      <c r="C407" s="69" t="s">
        <v>103</v>
      </c>
      <c r="D407" s="71">
        <v>14</v>
      </c>
      <c r="E407" s="69" t="s">
        <v>113</v>
      </c>
      <c r="F407" s="69" t="s">
        <v>105</v>
      </c>
      <c r="G407" s="69" t="s">
        <v>105</v>
      </c>
      <c r="H407" s="69" t="s">
        <v>106</v>
      </c>
      <c r="I407" s="69" t="s">
        <v>129</v>
      </c>
      <c r="J407" s="72">
        <v>400</v>
      </c>
    </row>
    <row r="408" spans="1:10" ht="15" customHeight="1">
      <c r="A408" s="70">
        <v>43943</v>
      </c>
      <c r="B408" s="69" t="s">
        <v>523</v>
      </c>
      <c r="C408" s="69" t="s">
        <v>116</v>
      </c>
      <c r="D408" s="71">
        <v>64</v>
      </c>
      <c r="E408" s="69" t="s">
        <v>139</v>
      </c>
      <c r="F408" s="69" t="s">
        <v>105</v>
      </c>
      <c r="G408" s="69" t="s">
        <v>105</v>
      </c>
      <c r="H408" s="69" t="s">
        <v>131</v>
      </c>
      <c r="I408" s="69" t="s">
        <v>107</v>
      </c>
      <c r="J408" s="72">
        <v>400</v>
      </c>
    </row>
    <row r="409" spans="1:10" ht="15" customHeight="1">
      <c r="A409" s="70">
        <v>43944</v>
      </c>
      <c r="B409" s="69" t="s">
        <v>524</v>
      </c>
      <c r="C409" s="69" t="s">
        <v>116</v>
      </c>
      <c r="D409" s="71">
        <v>74</v>
      </c>
      <c r="E409" s="69" t="s">
        <v>104</v>
      </c>
      <c r="F409" s="69" t="s">
        <v>120</v>
      </c>
      <c r="G409" s="69" t="s">
        <v>121</v>
      </c>
      <c r="H409" s="69" t="s">
        <v>145</v>
      </c>
      <c r="I409" s="69" t="s">
        <v>114</v>
      </c>
      <c r="J409" s="72">
        <v>78</v>
      </c>
    </row>
    <row r="410" spans="1:10" ht="15" customHeight="1">
      <c r="A410" s="70">
        <v>43944</v>
      </c>
      <c r="B410" s="69" t="s">
        <v>525</v>
      </c>
      <c r="C410" s="69" t="s">
        <v>103</v>
      </c>
      <c r="D410" s="71">
        <v>30</v>
      </c>
      <c r="E410" s="69" t="s">
        <v>139</v>
      </c>
      <c r="F410" s="69" t="s">
        <v>105</v>
      </c>
      <c r="G410" s="69" t="s">
        <v>105</v>
      </c>
      <c r="H410" s="69" t="s">
        <v>137</v>
      </c>
      <c r="I410" s="69" t="s">
        <v>118</v>
      </c>
      <c r="J410" s="72">
        <v>400</v>
      </c>
    </row>
    <row r="411" spans="1:10" ht="15" customHeight="1">
      <c r="A411" s="70">
        <v>43944</v>
      </c>
      <c r="B411" s="69" t="s">
        <v>526</v>
      </c>
      <c r="C411" s="69" t="s">
        <v>116</v>
      </c>
      <c r="D411" s="71">
        <v>5</v>
      </c>
      <c r="E411" s="69" t="s">
        <v>113</v>
      </c>
      <c r="F411" s="69" t="s">
        <v>105</v>
      </c>
      <c r="G411" s="69" t="s">
        <v>105</v>
      </c>
      <c r="H411" s="69" t="s">
        <v>145</v>
      </c>
      <c r="I411" s="69" t="s">
        <v>118</v>
      </c>
      <c r="J411" s="72">
        <v>400</v>
      </c>
    </row>
    <row r="412" spans="1:10" ht="15" customHeight="1">
      <c r="A412" s="70">
        <v>43945</v>
      </c>
      <c r="B412" s="69" t="s">
        <v>527</v>
      </c>
      <c r="C412" s="69" t="s">
        <v>103</v>
      </c>
      <c r="D412" s="71">
        <v>35</v>
      </c>
      <c r="E412" s="69" t="s">
        <v>113</v>
      </c>
      <c r="F412" s="69" t="s">
        <v>105</v>
      </c>
      <c r="G412" s="69" t="s">
        <v>105</v>
      </c>
      <c r="H412" s="69" t="s">
        <v>117</v>
      </c>
      <c r="I412" s="69" t="s">
        <v>118</v>
      </c>
      <c r="J412" s="72">
        <v>400</v>
      </c>
    </row>
    <row r="413" spans="1:10" ht="15" customHeight="1">
      <c r="A413" s="70">
        <v>43945</v>
      </c>
      <c r="B413" s="69" t="s">
        <v>501</v>
      </c>
      <c r="C413" s="69" t="s">
        <v>103</v>
      </c>
      <c r="D413" s="71">
        <v>27</v>
      </c>
      <c r="E413" s="69" t="s">
        <v>113</v>
      </c>
      <c r="F413" s="69" t="s">
        <v>105</v>
      </c>
      <c r="G413" s="69" t="s">
        <v>105</v>
      </c>
      <c r="H413" s="69" t="s">
        <v>131</v>
      </c>
      <c r="I413" s="69" t="s">
        <v>114</v>
      </c>
      <c r="J413" s="72">
        <v>400</v>
      </c>
    </row>
    <row r="414" spans="1:10" ht="15" customHeight="1">
      <c r="A414" s="70">
        <v>43945</v>
      </c>
      <c r="B414" s="69" t="s">
        <v>528</v>
      </c>
      <c r="C414" s="69" t="s">
        <v>103</v>
      </c>
      <c r="D414" s="71">
        <v>53</v>
      </c>
      <c r="E414" s="69" t="s">
        <v>104</v>
      </c>
      <c r="F414" s="69" t="s">
        <v>105</v>
      </c>
      <c r="G414" s="69" t="s">
        <v>105</v>
      </c>
      <c r="H414" s="69" t="s">
        <v>137</v>
      </c>
      <c r="I414" s="69" t="s">
        <v>129</v>
      </c>
      <c r="J414" s="72">
        <v>400</v>
      </c>
    </row>
    <row r="415" spans="1:10" ht="15" customHeight="1">
      <c r="A415" s="70">
        <v>43945</v>
      </c>
      <c r="B415" s="69" t="s">
        <v>529</v>
      </c>
      <c r="C415" s="69" t="s">
        <v>116</v>
      </c>
      <c r="D415" s="71">
        <v>64</v>
      </c>
      <c r="E415" s="69" t="s">
        <v>109</v>
      </c>
      <c r="F415" s="69" t="s">
        <v>120</v>
      </c>
      <c r="G415" s="69" t="s">
        <v>125</v>
      </c>
      <c r="H415" s="69" t="s">
        <v>106</v>
      </c>
      <c r="I415" s="69" t="s">
        <v>129</v>
      </c>
      <c r="J415" s="72">
        <v>65</v>
      </c>
    </row>
    <row r="416" spans="1:10" ht="15" customHeight="1">
      <c r="A416" s="70">
        <v>43946</v>
      </c>
      <c r="B416" s="69" t="s">
        <v>530</v>
      </c>
      <c r="C416" s="69" t="s">
        <v>103</v>
      </c>
      <c r="D416" s="71">
        <v>51</v>
      </c>
      <c r="E416" s="69" t="s">
        <v>104</v>
      </c>
      <c r="F416" s="69" t="s">
        <v>105</v>
      </c>
      <c r="G416" s="69" t="s">
        <v>105</v>
      </c>
      <c r="H416" s="69" t="s">
        <v>145</v>
      </c>
      <c r="I416" s="69" t="s">
        <v>114</v>
      </c>
      <c r="J416" s="72">
        <v>400</v>
      </c>
    </row>
    <row r="417" spans="1:10" ht="15" customHeight="1">
      <c r="A417" s="70">
        <v>43946</v>
      </c>
      <c r="B417" s="69" t="s">
        <v>531</v>
      </c>
      <c r="C417" s="69" t="s">
        <v>116</v>
      </c>
      <c r="D417" s="71">
        <v>20</v>
      </c>
      <c r="E417" s="69" t="s">
        <v>113</v>
      </c>
      <c r="F417" s="69" t="s">
        <v>105</v>
      </c>
      <c r="G417" s="69" t="s">
        <v>105</v>
      </c>
      <c r="H417" s="69" t="s">
        <v>128</v>
      </c>
      <c r="I417" s="69" t="s">
        <v>114</v>
      </c>
      <c r="J417" s="72">
        <v>400</v>
      </c>
    </row>
    <row r="418" spans="1:10" ht="15" customHeight="1">
      <c r="A418" s="70">
        <v>43946</v>
      </c>
      <c r="B418" s="69" t="s">
        <v>532</v>
      </c>
      <c r="C418" s="69" t="s">
        <v>116</v>
      </c>
      <c r="D418" s="71">
        <v>11</v>
      </c>
      <c r="E418" s="69" t="s">
        <v>109</v>
      </c>
      <c r="F418" s="69" t="s">
        <v>105</v>
      </c>
      <c r="G418" s="69" t="s">
        <v>105</v>
      </c>
      <c r="H418" s="69" t="s">
        <v>110</v>
      </c>
      <c r="I418" s="69" t="s">
        <v>129</v>
      </c>
      <c r="J418" s="72">
        <v>400</v>
      </c>
    </row>
    <row r="419" spans="1:10" ht="15" customHeight="1">
      <c r="A419" s="70">
        <v>43946</v>
      </c>
      <c r="B419" s="69" t="s">
        <v>533</v>
      </c>
      <c r="C419" s="69" t="s">
        <v>116</v>
      </c>
      <c r="D419" s="71">
        <v>6</v>
      </c>
      <c r="E419" s="69" t="s">
        <v>139</v>
      </c>
      <c r="F419" s="69" t="s">
        <v>105</v>
      </c>
      <c r="G419" s="69" t="s">
        <v>105</v>
      </c>
      <c r="H419" s="69" t="s">
        <v>128</v>
      </c>
      <c r="I419" s="69" t="s">
        <v>159</v>
      </c>
      <c r="J419" s="72">
        <v>400</v>
      </c>
    </row>
    <row r="420" spans="1:10" ht="15" customHeight="1">
      <c r="A420" s="70">
        <v>43947</v>
      </c>
      <c r="B420" s="69" t="s">
        <v>259</v>
      </c>
      <c r="C420" s="69" t="s">
        <v>116</v>
      </c>
      <c r="D420" s="71">
        <v>1</v>
      </c>
      <c r="E420" s="69" t="s">
        <v>104</v>
      </c>
      <c r="F420" s="69" t="s">
        <v>105</v>
      </c>
      <c r="G420" s="69" t="s">
        <v>105</v>
      </c>
      <c r="H420" s="69" t="s">
        <v>117</v>
      </c>
      <c r="I420" s="69" t="s">
        <v>107</v>
      </c>
      <c r="J420" s="72">
        <v>400</v>
      </c>
    </row>
    <row r="421" spans="1:10" ht="15" customHeight="1">
      <c r="A421" s="70">
        <v>43947</v>
      </c>
      <c r="B421" s="69" t="s">
        <v>534</v>
      </c>
      <c r="C421" s="69" t="s">
        <v>116</v>
      </c>
      <c r="D421" s="71">
        <v>51</v>
      </c>
      <c r="E421" s="69" t="s">
        <v>139</v>
      </c>
      <c r="F421" s="69" t="s">
        <v>105</v>
      </c>
      <c r="G421" s="69" t="s">
        <v>105</v>
      </c>
      <c r="H421" s="69" t="s">
        <v>106</v>
      </c>
      <c r="I421" s="69" t="s">
        <v>107</v>
      </c>
      <c r="J421" s="72">
        <v>400</v>
      </c>
    </row>
    <row r="422" spans="1:10" ht="15" customHeight="1">
      <c r="A422" s="70">
        <v>43947</v>
      </c>
      <c r="B422" s="69" t="s">
        <v>535</v>
      </c>
      <c r="C422" s="69" t="s">
        <v>116</v>
      </c>
      <c r="D422" s="71">
        <v>61</v>
      </c>
      <c r="E422" s="69" t="s">
        <v>104</v>
      </c>
      <c r="F422" s="69" t="s">
        <v>105</v>
      </c>
      <c r="G422" s="69" t="s">
        <v>105</v>
      </c>
      <c r="H422" s="69" t="s">
        <v>117</v>
      </c>
      <c r="I422" s="69" t="s">
        <v>107</v>
      </c>
      <c r="J422" s="72">
        <v>400</v>
      </c>
    </row>
    <row r="423" spans="1:10" ht="15" customHeight="1">
      <c r="A423" s="70">
        <v>43948</v>
      </c>
      <c r="B423" s="69" t="s">
        <v>536</v>
      </c>
      <c r="C423" s="69" t="s">
        <v>103</v>
      </c>
      <c r="D423" s="71">
        <v>25</v>
      </c>
      <c r="E423" s="69" t="s">
        <v>139</v>
      </c>
      <c r="F423" s="69" t="s">
        <v>105</v>
      </c>
      <c r="G423" s="69" t="s">
        <v>105</v>
      </c>
      <c r="H423" s="69" t="s">
        <v>137</v>
      </c>
      <c r="I423" s="69" t="s">
        <v>107</v>
      </c>
      <c r="J423" s="72">
        <v>400</v>
      </c>
    </row>
    <row r="424" spans="1:10" ht="15" customHeight="1">
      <c r="A424" s="70">
        <v>43948</v>
      </c>
      <c r="B424" s="69" t="s">
        <v>537</v>
      </c>
      <c r="C424" s="69" t="s">
        <v>116</v>
      </c>
      <c r="D424" s="71">
        <v>71</v>
      </c>
      <c r="E424" s="69" t="s">
        <v>113</v>
      </c>
      <c r="F424" s="69" t="s">
        <v>105</v>
      </c>
      <c r="G424" s="69" t="s">
        <v>105</v>
      </c>
      <c r="H424" s="69" t="s">
        <v>137</v>
      </c>
      <c r="I424" s="69" t="s">
        <v>129</v>
      </c>
      <c r="J424" s="72">
        <v>400</v>
      </c>
    </row>
    <row r="425" spans="1:10" ht="15" customHeight="1">
      <c r="A425" s="70">
        <v>43948</v>
      </c>
      <c r="B425" s="69" t="s">
        <v>538</v>
      </c>
      <c r="C425" s="69" t="s">
        <v>103</v>
      </c>
      <c r="D425" s="71">
        <v>62</v>
      </c>
      <c r="E425" s="69" t="s">
        <v>109</v>
      </c>
      <c r="F425" s="69" t="s">
        <v>120</v>
      </c>
      <c r="G425" s="69" t="s">
        <v>125</v>
      </c>
      <c r="H425" s="69" t="s">
        <v>131</v>
      </c>
      <c r="I425" s="69" t="s">
        <v>118</v>
      </c>
      <c r="J425" s="72">
        <v>65</v>
      </c>
    </row>
    <row r="426" spans="1:10" ht="15" customHeight="1">
      <c r="A426" s="70">
        <v>43948</v>
      </c>
      <c r="B426" s="69" t="s">
        <v>258</v>
      </c>
      <c r="C426" s="69" t="s">
        <v>116</v>
      </c>
      <c r="D426" s="71">
        <v>55</v>
      </c>
      <c r="E426" s="69" t="s">
        <v>139</v>
      </c>
      <c r="F426" s="69" t="s">
        <v>120</v>
      </c>
      <c r="G426" s="69" t="s">
        <v>125</v>
      </c>
      <c r="H426" s="69" t="s">
        <v>110</v>
      </c>
      <c r="I426" s="69" t="s">
        <v>114</v>
      </c>
      <c r="J426" s="72">
        <v>65</v>
      </c>
    </row>
    <row r="427" spans="1:10" ht="15" customHeight="1">
      <c r="A427" s="70">
        <v>43948</v>
      </c>
      <c r="B427" s="69" t="s">
        <v>539</v>
      </c>
      <c r="C427" s="69" t="s">
        <v>116</v>
      </c>
      <c r="D427" s="71">
        <v>53</v>
      </c>
      <c r="E427" s="69" t="s">
        <v>109</v>
      </c>
      <c r="F427" s="69" t="s">
        <v>105</v>
      </c>
      <c r="G427" s="69" t="s">
        <v>105</v>
      </c>
      <c r="H427" s="69" t="s">
        <v>128</v>
      </c>
      <c r="I427" s="69" t="s">
        <v>118</v>
      </c>
      <c r="J427" s="72">
        <v>400</v>
      </c>
    </row>
    <row r="428" spans="1:10" ht="15" customHeight="1">
      <c r="A428" s="70">
        <v>43949</v>
      </c>
      <c r="B428" s="69" t="s">
        <v>540</v>
      </c>
      <c r="C428" s="69" t="s">
        <v>103</v>
      </c>
      <c r="D428" s="71">
        <v>19</v>
      </c>
      <c r="E428" s="69" t="s">
        <v>104</v>
      </c>
      <c r="F428" s="69" t="s">
        <v>105</v>
      </c>
      <c r="G428" s="69" t="s">
        <v>105</v>
      </c>
      <c r="H428" s="69" t="s">
        <v>137</v>
      </c>
      <c r="I428" s="69" t="s">
        <v>118</v>
      </c>
      <c r="J428" s="72">
        <v>400</v>
      </c>
    </row>
    <row r="429" spans="1:10" ht="15" customHeight="1">
      <c r="A429" s="70">
        <v>43949</v>
      </c>
      <c r="B429" s="69" t="s">
        <v>541</v>
      </c>
      <c r="C429" s="69" t="s">
        <v>103</v>
      </c>
      <c r="D429" s="71">
        <v>32</v>
      </c>
      <c r="E429" s="69" t="s">
        <v>139</v>
      </c>
      <c r="F429" s="69" t="s">
        <v>105</v>
      </c>
      <c r="G429" s="69" t="s">
        <v>105</v>
      </c>
      <c r="H429" s="69" t="s">
        <v>137</v>
      </c>
      <c r="I429" s="69" t="s">
        <v>107</v>
      </c>
      <c r="J429" s="72">
        <v>400</v>
      </c>
    </row>
    <row r="430" spans="1:10" ht="15" customHeight="1">
      <c r="A430" s="70">
        <v>43949</v>
      </c>
      <c r="B430" s="69" t="s">
        <v>542</v>
      </c>
      <c r="C430" s="69" t="s">
        <v>103</v>
      </c>
      <c r="D430" s="71">
        <v>14</v>
      </c>
      <c r="E430" s="69" t="s">
        <v>113</v>
      </c>
      <c r="F430" s="69" t="s">
        <v>105</v>
      </c>
      <c r="G430" s="69" t="s">
        <v>105</v>
      </c>
      <c r="H430" s="69" t="s">
        <v>137</v>
      </c>
      <c r="I430" s="69" t="s">
        <v>111</v>
      </c>
      <c r="J430" s="72">
        <v>400</v>
      </c>
    </row>
    <row r="431" spans="1:10" ht="15" customHeight="1">
      <c r="A431" s="70">
        <v>43949</v>
      </c>
      <c r="B431" s="69" t="s">
        <v>543</v>
      </c>
      <c r="C431" s="69" t="s">
        <v>116</v>
      </c>
      <c r="D431" s="71">
        <v>7</v>
      </c>
      <c r="E431" s="69" t="s">
        <v>104</v>
      </c>
      <c r="F431" s="69" t="s">
        <v>105</v>
      </c>
      <c r="G431" s="69" t="s">
        <v>105</v>
      </c>
      <c r="H431" s="69" t="s">
        <v>131</v>
      </c>
      <c r="I431" s="69" t="s">
        <v>114</v>
      </c>
      <c r="J431" s="72">
        <v>400</v>
      </c>
    </row>
    <row r="432" spans="1:10" ht="15" customHeight="1">
      <c r="A432" s="70">
        <v>43950</v>
      </c>
      <c r="B432" s="69" t="s">
        <v>544</v>
      </c>
      <c r="C432" s="69" t="s">
        <v>116</v>
      </c>
      <c r="D432" s="71">
        <v>34</v>
      </c>
      <c r="E432" s="69" t="s">
        <v>109</v>
      </c>
      <c r="F432" s="69" t="s">
        <v>105</v>
      </c>
      <c r="G432" s="69" t="s">
        <v>105</v>
      </c>
      <c r="H432" s="69" t="s">
        <v>131</v>
      </c>
      <c r="I432" s="69" t="s">
        <v>118</v>
      </c>
      <c r="J432" s="72">
        <v>400</v>
      </c>
    </row>
    <row r="433" spans="1:10" ht="15" customHeight="1">
      <c r="A433" s="70">
        <v>43950</v>
      </c>
      <c r="B433" s="69" t="s">
        <v>545</v>
      </c>
      <c r="C433" s="69" t="s">
        <v>103</v>
      </c>
      <c r="D433" s="71">
        <v>26</v>
      </c>
      <c r="E433" s="69" t="s">
        <v>109</v>
      </c>
      <c r="F433" s="69" t="s">
        <v>105</v>
      </c>
      <c r="G433" s="69" t="s">
        <v>105</v>
      </c>
      <c r="H433" s="69" t="s">
        <v>131</v>
      </c>
      <c r="I433" s="69" t="s">
        <v>111</v>
      </c>
      <c r="J433" s="72">
        <v>400</v>
      </c>
    </row>
    <row r="434" spans="1:10" ht="15" customHeight="1">
      <c r="A434" s="70">
        <v>43950</v>
      </c>
      <c r="B434" s="69" t="s">
        <v>476</v>
      </c>
      <c r="C434" s="69" t="s">
        <v>116</v>
      </c>
      <c r="D434" s="71">
        <v>67</v>
      </c>
      <c r="E434" s="69" t="s">
        <v>139</v>
      </c>
      <c r="F434" s="69" t="s">
        <v>105</v>
      </c>
      <c r="G434" s="69" t="s">
        <v>105</v>
      </c>
      <c r="H434" s="69" t="s">
        <v>106</v>
      </c>
      <c r="I434" s="69" t="s">
        <v>159</v>
      </c>
      <c r="J434" s="72">
        <v>400</v>
      </c>
    </row>
    <row r="435" spans="1:10" ht="15" customHeight="1">
      <c r="A435" s="70">
        <v>43950</v>
      </c>
      <c r="B435" s="69" t="s">
        <v>546</v>
      </c>
      <c r="C435" s="69" t="s">
        <v>103</v>
      </c>
      <c r="D435" s="71">
        <v>32</v>
      </c>
      <c r="E435" s="69" t="s">
        <v>104</v>
      </c>
      <c r="F435" s="69" t="s">
        <v>120</v>
      </c>
      <c r="G435" s="69" t="s">
        <v>121</v>
      </c>
      <c r="H435" s="69" t="s">
        <v>131</v>
      </c>
      <c r="I435" s="69" t="s">
        <v>114</v>
      </c>
      <c r="J435" s="72">
        <v>78</v>
      </c>
    </row>
    <row r="436" spans="1:10" ht="15" customHeight="1">
      <c r="A436" s="70">
        <v>43950</v>
      </c>
      <c r="B436" s="69" t="s">
        <v>547</v>
      </c>
      <c r="C436" s="69" t="s">
        <v>116</v>
      </c>
      <c r="D436" s="71">
        <v>24</v>
      </c>
      <c r="E436" s="69" t="s">
        <v>113</v>
      </c>
      <c r="F436" s="69" t="s">
        <v>105</v>
      </c>
      <c r="G436" s="69" t="s">
        <v>105</v>
      </c>
      <c r="H436" s="69" t="s">
        <v>145</v>
      </c>
      <c r="I436" s="69" t="s">
        <v>111</v>
      </c>
      <c r="J436" s="72">
        <v>400</v>
      </c>
    </row>
    <row r="437" spans="1:10" ht="15" customHeight="1">
      <c r="A437" s="70">
        <v>43951</v>
      </c>
      <c r="B437" s="69" t="s">
        <v>548</v>
      </c>
      <c r="C437" s="69" t="s">
        <v>116</v>
      </c>
      <c r="D437" s="71">
        <v>70</v>
      </c>
      <c r="E437" s="69" t="s">
        <v>113</v>
      </c>
      <c r="F437" s="69" t="s">
        <v>120</v>
      </c>
      <c r="G437" s="69" t="s">
        <v>142</v>
      </c>
      <c r="H437" s="69" t="s">
        <v>137</v>
      </c>
      <c r="I437" s="69" t="s">
        <v>118</v>
      </c>
      <c r="J437" s="72">
        <v>52</v>
      </c>
    </row>
    <row r="438" spans="1:10" ht="15" customHeight="1">
      <c r="A438" s="70">
        <v>43951</v>
      </c>
      <c r="B438" s="69" t="s">
        <v>549</v>
      </c>
      <c r="C438" s="69" t="s">
        <v>116</v>
      </c>
      <c r="D438" s="71">
        <v>28</v>
      </c>
      <c r="E438" s="69" t="s">
        <v>139</v>
      </c>
      <c r="F438" s="69" t="s">
        <v>105</v>
      </c>
      <c r="G438" s="69" t="s">
        <v>105</v>
      </c>
      <c r="H438" s="69" t="s">
        <v>106</v>
      </c>
      <c r="I438" s="69" t="s">
        <v>111</v>
      </c>
      <c r="J438" s="72">
        <v>400</v>
      </c>
    </row>
    <row r="439" spans="1:10" ht="15" customHeight="1">
      <c r="A439" s="70">
        <v>43952</v>
      </c>
      <c r="B439" s="69" t="s">
        <v>550</v>
      </c>
      <c r="C439" s="69" t="s">
        <v>116</v>
      </c>
      <c r="D439" s="71">
        <v>61</v>
      </c>
      <c r="E439" s="69" t="s">
        <v>113</v>
      </c>
      <c r="F439" s="69" t="s">
        <v>105</v>
      </c>
      <c r="G439" s="69" t="s">
        <v>105</v>
      </c>
      <c r="H439" s="69" t="s">
        <v>137</v>
      </c>
      <c r="I439" s="69" t="s">
        <v>114</v>
      </c>
      <c r="J439" s="72">
        <v>400</v>
      </c>
    </row>
    <row r="440" spans="1:10" ht="15" customHeight="1">
      <c r="A440" s="70">
        <v>43952</v>
      </c>
      <c r="B440" s="69" t="s">
        <v>108</v>
      </c>
      <c r="C440" s="69" t="s">
        <v>103</v>
      </c>
      <c r="D440" s="71">
        <v>25</v>
      </c>
      <c r="E440" s="69" t="s">
        <v>113</v>
      </c>
      <c r="F440" s="69" t="s">
        <v>105</v>
      </c>
      <c r="G440" s="69" t="s">
        <v>105</v>
      </c>
      <c r="H440" s="69" t="s">
        <v>128</v>
      </c>
      <c r="I440" s="69" t="s">
        <v>111</v>
      </c>
      <c r="J440" s="72">
        <v>400</v>
      </c>
    </row>
    <row r="441" spans="1:10" ht="15" customHeight="1">
      <c r="A441" s="70">
        <v>43953</v>
      </c>
      <c r="B441" s="69" t="s">
        <v>551</v>
      </c>
      <c r="C441" s="69" t="s">
        <v>116</v>
      </c>
      <c r="D441" s="71">
        <v>45</v>
      </c>
      <c r="E441" s="69" t="s">
        <v>113</v>
      </c>
      <c r="F441" s="69" t="s">
        <v>120</v>
      </c>
      <c r="G441" s="69" t="s">
        <v>125</v>
      </c>
      <c r="H441" s="69" t="s">
        <v>117</v>
      </c>
      <c r="I441" s="69" t="s">
        <v>114</v>
      </c>
      <c r="J441" s="72">
        <v>65</v>
      </c>
    </row>
    <row r="442" spans="1:10" ht="15" customHeight="1">
      <c r="A442" s="70">
        <v>43954</v>
      </c>
      <c r="B442" s="69" t="s">
        <v>552</v>
      </c>
      <c r="C442" s="69" t="s">
        <v>116</v>
      </c>
      <c r="D442" s="71">
        <v>1</v>
      </c>
      <c r="E442" s="69" t="s">
        <v>113</v>
      </c>
      <c r="F442" s="69" t="s">
        <v>105</v>
      </c>
      <c r="G442" s="69" t="s">
        <v>105</v>
      </c>
      <c r="H442" s="69" t="s">
        <v>117</v>
      </c>
      <c r="I442" s="69" t="s">
        <v>114</v>
      </c>
      <c r="J442" s="72">
        <v>400</v>
      </c>
    </row>
    <row r="443" spans="1:10" ht="15" customHeight="1">
      <c r="A443" s="70">
        <v>43954</v>
      </c>
      <c r="B443" s="69" t="s">
        <v>553</v>
      </c>
      <c r="C443" s="69" t="s">
        <v>103</v>
      </c>
      <c r="D443" s="71">
        <v>25</v>
      </c>
      <c r="E443" s="69" t="s">
        <v>139</v>
      </c>
      <c r="F443" s="69" t="s">
        <v>105</v>
      </c>
      <c r="G443" s="69" t="s">
        <v>105</v>
      </c>
      <c r="H443" s="69" t="s">
        <v>145</v>
      </c>
      <c r="I443" s="69" t="s">
        <v>107</v>
      </c>
      <c r="J443" s="72">
        <v>400</v>
      </c>
    </row>
    <row r="444" spans="1:10" ht="15" customHeight="1">
      <c r="A444" s="70">
        <v>43955</v>
      </c>
      <c r="B444" s="69" t="s">
        <v>554</v>
      </c>
      <c r="C444" s="69" t="s">
        <v>116</v>
      </c>
      <c r="D444" s="71">
        <v>64</v>
      </c>
      <c r="E444" s="69" t="s">
        <v>104</v>
      </c>
      <c r="F444" s="69" t="s">
        <v>120</v>
      </c>
      <c r="G444" s="69" t="s">
        <v>123</v>
      </c>
      <c r="H444" s="69" t="s">
        <v>128</v>
      </c>
      <c r="I444" s="69" t="s">
        <v>111</v>
      </c>
      <c r="J444" s="72">
        <v>90</v>
      </c>
    </row>
    <row r="445" spans="1:10" ht="15" customHeight="1">
      <c r="A445" s="70">
        <v>43956</v>
      </c>
      <c r="B445" s="69" t="s">
        <v>555</v>
      </c>
      <c r="C445" s="69" t="s">
        <v>116</v>
      </c>
      <c r="D445" s="71">
        <v>7</v>
      </c>
      <c r="E445" s="69" t="s">
        <v>109</v>
      </c>
      <c r="F445" s="69" t="s">
        <v>105</v>
      </c>
      <c r="G445" s="69" t="s">
        <v>105</v>
      </c>
      <c r="H445" s="69" t="s">
        <v>128</v>
      </c>
      <c r="I445" s="69" t="s">
        <v>159</v>
      </c>
      <c r="J445" s="72">
        <v>400</v>
      </c>
    </row>
    <row r="446" spans="1:10" ht="15" customHeight="1">
      <c r="A446" s="70">
        <v>43956</v>
      </c>
      <c r="B446" s="69" t="s">
        <v>556</v>
      </c>
      <c r="C446" s="69" t="s">
        <v>116</v>
      </c>
      <c r="D446" s="71">
        <v>75</v>
      </c>
      <c r="E446" s="69" t="s">
        <v>109</v>
      </c>
      <c r="F446" s="69" t="s">
        <v>120</v>
      </c>
      <c r="G446" s="69" t="s">
        <v>121</v>
      </c>
      <c r="H446" s="69" t="s">
        <v>128</v>
      </c>
      <c r="I446" s="69" t="s">
        <v>159</v>
      </c>
      <c r="J446" s="72">
        <v>78</v>
      </c>
    </row>
    <row r="447" spans="1:10" ht="15" customHeight="1">
      <c r="A447" s="70">
        <v>43956</v>
      </c>
      <c r="B447" s="69" t="s">
        <v>557</v>
      </c>
      <c r="C447" s="69" t="s">
        <v>116</v>
      </c>
      <c r="D447" s="71">
        <v>39</v>
      </c>
      <c r="E447" s="69" t="s">
        <v>113</v>
      </c>
      <c r="F447" s="69" t="s">
        <v>120</v>
      </c>
      <c r="G447" s="69" t="s">
        <v>121</v>
      </c>
      <c r="H447" s="69" t="s">
        <v>137</v>
      </c>
      <c r="I447" s="69" t="s">
        <v>114</v>
      </c>
      <c r="J447" s="72">
        <v>78</v>
      </c>
    </row>
    <row r="448" spans="1:10" ht="15" customHeight="1">
      <c r="A448" s="70">
        <v>43956</v>
      </c>
      <c r="B448" s="69" t="s">
        <v>558</v>
      </c>
      <c r="C448" s="69" t="s">
        <v>103</v>
      </c>
      <c r="D448" s="71">
        <v>59</v>
      </c>
      <c r="E448" s="69" t="s">
        <v>109</v>
      </c>
      <c r="F448" s="69" t="s">
        <v>105</v>
      </c>
      <c r="G448" s="69" t="s">
        <v>105</v>
      </c>
      <c r="H448" s="69" t="s">
        <v>126</v>
      </c>
      <c r="I448" s="69" t="s">
        <v>118</v>
      </c>
      <c r="J448" s="72">
        <v>400</v>
      </c>
    </row>
    <row r="449" spans="1:10" ht="15" customHeight="1">
      <c r="A449" s="70">
        <v>43956</v>
      </c>
      <c r="B449" s="69" t="s">
        <v>559</v>
      </c>
      <c r="C449" s="69" t="s">
        <v>103</v>
      </c>
      <c r="D449" s="71">
        <v>3</v>
      </c>
      <c r="E449" s="69" t="s">
        <v>113</v>
      </c>
      <c r="F449" s="69" t="s">
        <v>105</v>
      </c>
      <c r="G449" s="69" t="s">
        <v>105</v>
      </c>
      <c r="H449" s="69" t="s">
        <v>145</v>
      </c>
      <c r="I449" s="69" t="s">
        <v>111</v>
      </c>
      <c r="J449" s="72">
        <v>400</v>
      </c>
    </row>
    <row r="450" spans="1:10" ht="15" customHeight="1">
      <c r="A450" s="70">
        <v>43956</v>
      </c>
      <c r="B450" s="69" t="s">
        <v>560</v>
      </c>
      <c r="C450" s="69" t="s">
        <v>116</v>
      </c>
      <c r="D450" s="71">
        <v>8</v>
      </c>
      <c r="E450" s="69" t="s">
        <v>104</v>
      </c>
      <c r="F450" s="69" t="s">
        <v>105</v>
      </c>
      <c r="G450" s="69" t="s">
        <v>105</v>
      </c>
      <c r="H450" s="69" t="s">
        <v>137</v>
      </c>
      <c r="I450" s="69" t="s">
        <v>159</v>
      </c>
      <c r="J450" s="72">
        <v>400</v>
      </c>
    </row>
    <row r="451" spans="1:10" ht="15" customHeight="1">
      <c r="A451" s="70">
        <v>43956</v>
      </c>
      <c r="B451" s="69" t="s">
        <v>292</v>
      </c>
      <c r="C451" s="69" t="s">
        <v>116</v>
      </c>
      <c r="D451" s="71">
        <v>22</v>
      </c>
      <c r="E451" s="69" t="s">
        <v>139</v>
      </c>
      <c r="F451" s="69" t="s">
        <v>105</v>
      </c>
      <c r="G451" s="69" t="s">
        <v>105</v>
      </c>
      <c r="H451" s="69" t="s">
        <v>131</v>
      </c>
      <c r="I451" s="69" t="s">
        <v>129</v>
      </c>
      <c r="J451" s="72">
        <v>400</v>
      </c>
    </row>
    <row r="452" spans="1:10" ht="15" customHeight="1">
      <c r="A452" s="70">
        <v>43956</v>
      </c>
      <c r="B452" s="69" t="s">
        <v>561</v>
      </c>
      <c r="C452" s="69" t="s">
        <v>116</v>
      </c>
      <c r="D452" s="71">
        <v>42</v>
      </c>
      <c r="E452" s="69" t="s">
        <v>113</v>
      </c>
      <c r="F452" s="69" t="s">
        <v>105</v>
      </c>
      <c r="G452" s="69" t="s">
        <v>105</v>
      </c>
      <c r="H452" s="69" t="s">
        <v>106</v>
      </c>
      <c r="I452" s="69" t="s">
        <v>111</v>
      </c>
      <c r="J452" s="72">
        <v>400</v>
      </c>
    </row>
    <row r="453" spans="1:10" ht="15" customHeight="1">
      <c r="A453" s="70">
        <v>43956</v>
      </c>
      <c r="B453" s="69" t="s">
        <v>474</v>
      </c>
      <c r="C453" s="69" t="s">
        <v>103</v>
      </c>
      <c r="D453" s="71">
        <v>21</v>
      </c>
      <c r="E453" s="69" t="s">
        <v>109</v>
      </c>
      <c r="F453" s="69" t="s">
        <v>120</v>
      </c>
      <c r="G453" s="69" t="s">
        <v>121</v>
      </c>
      <c r="H453" s="69" t="s">
        <v>145</v>
      </c>
      <c r="I453" s="69" t="s">
        <v>129</v>
      </c>
      <c r="J453" s="72">
        <v>78</v>
      </c>
    </row>
    <row r="454" spans="1:10" ht="15" customHeight="1">
      <c r="A454" s="70">
        <v>43956</v>
      </c>
      <c r="B454" s="69" t="s">
        <v>562</v>
      </c>
      <c r="C454" s="69" t="s">
        <v>116</v>
      </c>
      <c r="D454" s="71">
        <v>50</v>
      </c>
      <c r="E454" s="69" t="s">
        <v>113</v>
      </c>
      <c r="F454" s="69" t="s">
        <v>105</v>
      </c>
      <c r="G454" s="69" t="s">
        <v>105</v>
      </c>
      <c r="H454" s="69" t="s">
        <v>137</v>
      </c>
      <c r="I454" s="69" t="s">
        <v>107</v>
      </c>
      <c r="J454" s="72">
        <v>400</v>
      </c>
    </row>
    <row r="455" spans="1:10" ht="15" customHeight="1">
      <c r="A455" s="70">
        <v>43957</v>
      </c>
      <c r="B455" s="69" t="s">
        <v>563</v>
      </c>
      <c r="C455" s="69" t="s">
        <v>116</v>
      </c>
      <c r="D455" s="71">
        <v>49</v>
      </c>
      <c r="E455" s="69" t="s">
        <v>113</v>
      </c>
      <c r="F455" s="69" t="s">
        <v>120</v>
      </c>
      <c r="G455" s="69" t="s">
        <v>121</v>
      </c>
      <c r="H455" s="69" t="s">
        <v>128</v>
      </c>
      <c r="I455" s="69" t="s">
        <v>111</v>
      </c>
      <c r="J455" s="72">
        <v>78</v>
      </c>
    </row>
    <row r="456" spans="1:10" ht="15" customHeight="1">
      <c r="A456" s="70">
        <v>43957</v>
      </c>
      <c r="B456" s="69" t="s">
        <v>564</v>
      </c>
      <c r="C456" s="69" t="s">
        <v>103</v>
      </c>
      <c r="D456" s="71">
        <v>49</v>
      </c>
      <c r="E456" s="69" t="s">
        <v>104</v>
      </c>
      <c r="F456" s="69" t="s">
        <v>120</v>
      </c>
      <c r="G456" s="69" t="s">
        <v>121</v>
      </c>
      <c r="H456" s="69" t="s">
        <v>106</v>
      </c>
      <c r="I456" s="69" t="s">
        <v>111</v>
      </c>
      <c r="J456" s="72">
        <v>78</v>
      </c>
    </row>
    <row r="457" spans="1:10" ht="15" customHeight="1">
      <c r="A457" s="70">
        <v>43957</v>
      </c>
      <c r="B457" s="69" t="s">
        <v>565</v>
      </c>
      <c r="C457" s="69" t="s">
        <v>116</v>
      </c>
      <c r="D457" s="71">
        <v>54</v>
      </c>
      <c r="E457" s="69" t="s">
        <v>139</v>
      </c>
      <c r="F457" s="69" t="s">
        <v>120</v>
      </c>
      <c r="G457" s="69" t="s">
        <v>121</v>
      </c>
      <c r="H457" s="69" t="s">
        <v>131</v>
      </c>
      <c r="I457" s="69" t="s">
        <v>114</v>
      </c>
      <c r="J457" s="72">
        <v>78</v>
      </c>
    </row>
    <row r="458" spans="1:10" ht="15" customHeight="1">
      <c r="A458" s="70">
        <v>43957</v>
      </c>
      <c r="B458" s="69" t="s">
        <v>566</v>
      </c>
      <c r="C458" s="69" t="s">
        <v>116</v>
      </c>
      <c r="D458" s="71">
        <v>33</v>
      </c>
      <c r="E458" s="69" t="s">
        <v>139</v>
      </c>
      <c r="F458" s="69" t="s">
        <v>120</v>
      </c>
      <c r="G458" s="69" t="s">
        <v>125</v>
      </c>
      <c r="H458" s="69" t="s">
        <v>117</v>
      </c>
      <c r="I458" s="69" t="s">
        <v>107</v>
      </c>
      <c r="J458" s="72">
        <v>65</v>
      </c>
    </row>
    <row r="459" spans="1:10" ht="15" customHeight="1">
      <c r="A459" s="70">
        <v>43957</v>
      </c>
      <c r="B459" s="69" t="s">
        <v>567</v>
      </c>
      <c r="C459" s="69" t="s">
        <v>116</v>
      </c>
      <c r="D459" s="71">
        <v>51</v>
      </c>
      <c r="E459" s="69" t="s">
        <v>113</v>
      </c>
      <c r="F459" s="69" t="s">
        <v>120</v>
      </c>
      <c r="G459" s="69" t="s">
        <v>121</v>
      </c>
      <c r="H459" s="69" t="s">
        <v>106</v>
      </c>
      <c r="I459" s="69" t="s">
        <v>107</v>
      </c>
      <c r="J459" s="72">
        <v>78</v>
      </c>
    </row>
    <row r="460" spans="1:10" ht="15" customHeight="1">
      <c r="A460" s="70">
        <v>43958</v>
      </c>
      <c r="B460" s="69" t="s">
        <v>568</v>
      </c>
      <c r="C460" s="69" t="s">
        <v>116</v>
      </c>
      <c r="D460" s="71">
        <v>63</v>
      </c>
      <c r="E460" s="69" t="s">
        <v>139</v>
      </c>
      <c r="F460" s="69" t="s">
        <v>105</v>
      </c>
      <c r="G460" s="69" t="s">
        <v>105</v>
      </c>
      <c r="H460" s="69" t="s">
        <v>110</v>
      </c>
      <c r="I460" s="69" t="s">
        <v>114</v>
      </c>
      <c r="J460" s="72">
        <v>400</v>
      </c>
    </row>
    <row r="461" spans="1:10" ht="15" customHeight="1">
      <c r="A461" s="70">
        <v>43958</v>
      </c>
      <c r="B461" s="69" t="s">
        <v>569</v>
      </c>
      <c r="C461" s="69" t="s">
        <v>116</v>
      </c>
      <c r="D461" s="71">
        <v>37</v>
      </c>
      <c r="E461" s="69" t="s">
        <v>104</v>
      </c>
      <c r="F461" s="69" t="s">
        <v>120</v>
      </c>
      <c r="G461" s="69" t="s">
        <v>125</v>
      </c>
      <c r="H461" s="69" t="s">
        <v>131</v>
      </c>
      <c r="I461" s="69" t="s">
        <v>118</v>
      </c>
      <c r="J461" s="72">
        <v>65</v>
      </c>
    </row>
    <row r="462" spans="1:10" ht="15" customHeight="1">
      <c r="A462" s="70">
        <v>43958</v>
      </c>
      <c r="B462" s="69" t="s">
        <v>570</v>
      </c>
      <c r="C462" s="69" t="s">
        <v>116</v>
      </c>
      <c r="D462" s="71">
        <v>37</v>
      </c>
      <c r="E462" s="69" t="s">
        <v>113</v>
      </c>
      <c r="F462" s="69" t="s">
        <v>105</v>
      </c>
      <c r="G462" s="69" t="s">
        <v>105</v>
      </c>
      <c r="H462" s="69" t="s">
        <v>137</v>
      </c>
      <c r="I462" s="69" t="s">
        <v>114</v>
      </c>
      <c r="J462" s="72">
        <v>400</v>
      </c>
    </row>
    <row r="463" spans="1:10" ht="15" customHeight="1">
      <c r="A463" s="70">
        <v>43958</v>
      </c>
      <c r="B463" s="69" t="s">
        <v>571</v>
      </c>
      <c r="C463" s="69" t="s">
        <v>116</v>
      </c>
      <c r="D463" s="71">
        <v>18</v>
      </c>
      <c r="E463" s="69" t="s">
        <v>104</v>
      </c>
      <c r="F463" s="69" t="s">
        <v>105</v>
      </c>
      <c r="G463" s="69" t="s">
        <v>105</v>
      </c>
      <c r="H463" s="69" t="s">
        <v>128</v>
      </c>
      <c r="I463" s="69" t="s">
        <v>118</v>
      </c>
      <c r="J463" s="72">
        <v>400</v>
      </c>
    </row>
    <row r="464" spans="1:10" ht="15" customHeight="1">
      <c r="A464" s="70">
        <v>43959</v>
      </c>
      <c r="B464" s="69" t="s">
        <v>572</v>
      </c>
      <c r="C464" s="69" t="s">
        <v>116</v>
      </c>
      <c r="D464" s="71">
        <v>11</v>
      </c>
      <c r="E464" s="69" t="s">
        <v>104</v>
      </c>
      <c r="F464" s="69" t="s">
        <v>120</v>
      </c>
      <c r="G464" s="69" t="s">
        <v>121</v>
      </c>
      <c r="H464" s="69" t="s">
        <v>137</v>
      </c>
      <c r="I464" s="69" t="s">
        <v>129</v>
      </c>
      <c r="J464" s="72">
        <v>78</v>
      </c>
    </row>
    <row r="465" spans="1:10" ht="15" customHeight="1">
      <c r="A465" s="70">
        <v>43959</v>
      </c>
      <c r="B465" s="69" t="s">
        <v>573</v>
      </c>
      <c r="C465" s="69" t="s">
        <v>116</v>
      </c>
      <c r="D465" s="71">
        <v>34</v>
      </c>
      <c r="E465" s="69" t="s">
        <v>113</v>
      </c>
      <c r="F465" s="69" t="s">
        <v>105</v>
      </c>
      <c r="G465" s="69" t="s">
        <v>105</v>
      </c>
      <c r="H465" s="69" t="s">
        <v>128</v>
      </c>
      <c r="I465" s="69" t="s">
        <v>118</v>
      </c>
      <c r="J465" s="72">
        <v>400</v>
      </c>
    </row>
    <row r="466" spans="1:10" ht="15" customHeight="1">
      <c r="A466" s="70">
        <v>43959</v>
      </c>
      <c r="B466" s="69" t="s">
        <v>574</v>
      </c>
      <c r="C466" s="69" t="s">
        <v>103</v>
      </c>
      <c r="D466" s="71">
        <v>69</v>
      </c>
      <c r="E466" s="69" t="s">
        <v>139</v>
      </c>
      <c r="F466" s="69" t="s">
        <v>120</v>
      </c>
      <c r="G466" s="69" t="s">
        <v>121</v>
      </c>
      <c r="H466" s="69" t="s">
        <v>137</v>
      </c>
      <c r="I466" s="69" t="s">
        <v>107</v>
      </c>
      <c r="J466" s="72">
        <v>78</v>
      </c>
    </row>
    <row r="467" spans="1:10" ht="15" customHeight="1">
      <c r="A467" s="70">
        <v>43959</v>
      </c>
      <c r="B467" s="69" t="s">
        <v>575</v>
      </c>
      <c r="C467" s="69" t="s">
        <v>116</v>
      </c>
      <c r="D467" s="71">
        <v>31</v>
      </c>
      <c r="E467" s="69" t="s">
        <v>104</v>
      </c>
      <c r="F467" s="69" t="s">
        <v>120</v>
      </c>
      <c r="G467" s="69" t="s">
        <v>125</v>
      </c>
      <c r="H467" s="69" t="s">
        <v>110</v>
      </c>
      <c r="I467" s="69" t="s">
        <v>129</v>
      </c>
      <c r="J467" s="72">
        <v>65</v>
      </c>
    </row>
    <row r="468" spans="1:10" ht="15" customHeight="1">
      <c r="A468" s="70">
        <v>43960</v>
      </c>
      <c r="B468" s="69" t="s">
        <v>576</v>
      </c>
      <c r="C468" s="69" t="s">
        <v>103</v>
      </c>
      <c r="D468" s="71">
        <v>32</v>
      </c>
      <c r="E468" s="69" t="s">
        <v>139</v>
      </c>
      <c r="F468" s="69" t="s">
        <v>105</v>
      </c>
      <c r="G468" s="69" t="s">
        <v>105</v>
      </c>
      <c r="H468" s="69" t="s">
        <v>110</v>
      </c>
      <c r="I468" s="69" t="s">
        <v>111</v>
      </c>
      <c r="J468" s="72">
        <v>400</v>
      </c>
    </row>
    <row r="469" spans="1:10" ht="15" customHeight="1">
      <c r="A469" s="70">
        <v>43960</v>
      </c>
      <c r="B469" s="69" t="s">
        <v>577</v>
      </c>
      <c r="C469" s="69" t="s">
        <v>116</v>
      </c>
      <c r="D469" s="71">
        <v>47</v>
      </c>
      <c r="E469" s="69" t="s">
        <v>113</v>
      </c>
      <c r="F469" s="69" t="s">
        <v>105</v>
      </c>
      <c r="G469" s="69" t="s">
        <v>105</v>
      </c>
      <c r="H469" s="69" t="s">
        <v>131</v>
      </c>
      <c r="I469" s="69" t="s">
        <v>114</v>
      </c>
      <c r="J469" s="72">
        <v>400</v>
      </c>
    </row>
    <row r="470" spans="1:10" ht="15" customHeight="1">
      <c r="A470" s="70">
        <v>43961</v>
      </c>
      <c r="B470" s="69" t="s">
        <v>578</v>
      </c>
      <c r="C470" s="69" t="s">
        <v>103</v>
      </c>
      <c r="D470" s="71">
        <v>57</v>
      </c>
      <c r="E470" s="69" t="s">
        <v>139</v>
      </c>
      <c r="F470" s="69" t="s">
        <v>120</v>
      </c>
      <c r="G470" s="69" t="s">
        <v>121</v>
      </c>
      <c r="H470" s="69" t="s">
        <v>106</v>
      </c>
      <c r="I470" s="69" t="s">
        <v>114</v>
      </c>
      <c r="J470" s="72">
        <v>78</v>
      </c>
    </row>
    <row r="471" spans="1:10" ht="15" customHeight="1">
      <c r="A471" s="70">
        <v>43962</v>
      </c>
      <c r="B471" s="69" t="s">
        <v>579</v>
      </c>
      <c r="C471" s="69" t="s">
        <v>116</v>
      </c>
      <c r="D471" s="71">
        <v>12</v>
      </c>
      <c r="E471" s="69" t="s">
        <v>139</v>
      </c>
      <c r="F471" s="69" t="s">
        <v>120</v>
      </c>
      <c r="G471" s="69" t="s">
        <v>142</v>
      </c>
      <c r="H471" s="69" t="s">
        <v>117</v>
      </c>
      <c r="I471" s="69" t="s">
        <v>159</v>
      </c>
      <c r="J471" s="72">
        <v>52</v>
      </c>
    </row>
    <row r="472" spans="1:10" ht="15" customHeight="1">
      <c r="A472" s="70">
        <v>43962</v>
      </c>
      <c r="B472" s="69" t="s">
        <v>580</v>
      </c>
      <c r="C472" s="69" t="s">
        <v>116</v>
      </c>
      <c r="D472" s="71">
        <v>4</v>
      </c>
      <c r="E472" s="69" t="s">
        <v>113</v>
      </c>
      <c r="F472" s="69" t="s">
        <v>105</v>
      </c>
      <c r="G472" s="69" t="s">
        <v>105</v>
      </c>
      <c r="H472" s="69" t="s">
        <v>106</v>
      </c>
      <c r="I472" s="69" t="s">
        <v>114</v>
      </c>
      <c r="J472" s="72">
        <v>400</v>
      </c>
    </row>
    <row r="473" spans="1:10" ht="15" customHeight="1">
      <c r="A473" s="70">
        <v>43962</v>
      </c>
      <c r="B473" s="69" t="s">
        <v>581</v>
      </c>
      <c r="C473" s="69" t="s">
        <v>116</v>
      </c>
      <c r="D473" s="71">
        <v>18</v>
      </c>
      <c r="E473" s="69" t="s">
        <v>113</v>
      </c>
      <c r="F473" s="69" t="s">
        <v>105</v>
      </c>
      <c r="G473" s="69" t="s">
        <v>105</v>
      </c>
      <c r="H473" s="69" t="s">
        <v>106</v>
      </c>
      <c r="I473" s="69" t="s">
        <v>107</v>
      </c>
      <c r="J473" s="72">
        <v>400</v>
      </c>
    </row>
    <row r="474" spans="1:10" ht="15" customHeight="1">
      <c r="A474" s="70">
        <v>43962</v>
      </c>
      <c r="B474" s="69" t="s">
        <v>582</v>
      </c>
      <c r="C474" s="69" t="s">
        <v>116</v>
      </c>
      <c r="D474" s="71">
        <v>62</v>
      </c>
      <c r="E474" s="69" t="s">
        <v>104</v>
      </c>
      <c r="F474" s="69" t="s">
        <v>120</v>
      </c>
      <c r="G474" s="69" t="s">
        <v>121</v>
      </c>
      <c r="H474" s="69" t="s">
        <v>110</v>
      </c>
      <c r="I474" s="69" t="s">
        <v>107</v>
      </c>
      <c r="J474" s="72">
        <v>78</v>
      </c>
    </row>
    <row r="475" spans="1:10" ht="15" customHeight="1">
      <c r="A475" s="70">
        <v>43963</v>
      </c>
      <c r="B475" s="69" t="s">
        <v>583</v>
      </c>
      <c r="C475" s="69" t="s">
        <v>116</v>
      </c>
      <c r="D475" s="71">
        <v>71</v>
      </c>
      <c r="E475" s="69" t="s">
        <v>113</v>
      </c>
      <c r="F475" s="69" t="s">
        <v>120</v>
      </c>
      <c r="G475" s="69" t="s">
        <v>121</v>
      </c>
      <c r="H475" s="69" t="s">
        <v>110</v>
      </c>
      <c r="I475" s="69" t="s">
        <v>114</v>
      </c>
      <c r="J475" s="72">
        <v>78</v>
      </c>
    </row>
    <row r="476" spans="1:10" ht="15" customHeight="1">
      <c r="A476" s="70">
        <v>43963</v>
      </c>
      <c r="B476" s="69" t="s">
        <v>584</v>
      </c>
      <c r="C476" s="69" t="s">
        <v>116</v>
      </c>
      <c r="D476" s="71">
        <v>32</v>
      </c>
      <c r="E476" s="69" t="s">
        <v>113</v>
      </c>
      <c r="F476" s="69" t="s">
        <v>105</v>
      </c>
      <c r="G476" s="69" t="s">
        <v>105</v>
      </c>
      <c r="H476" s="69" t="s">
        <v>110</v>
      </c>
      <c r="I476" s="69" t="s">
        <v>118</v>
      </c>
      <c r="J476" s="72">
        <v>400</v>
      </c>
    </row>
    <row r="477" spans="1:10" ht="15" customHeight="1">
      <c r="A477" s="70">
        <v>43964</v>
      </c>
      <c r="B477" s="69" t="s">
        <v>164</v>
      </c>
      <c r="C477" s="69" t="s">
        <v>103</v>
      </c>
      <c r="D477" s="71">
        <v>23</v>
      </c>
      <c r="E477" s="69" t="s">
        <v>109</v>
      </c>
      <c r="F477" s="69" t="s">
        <v>105</v>
      </c>
      <c r="G477" s="69" t="s">
        <v>105</v>
      </c>
      <c r="H477" s="69" t="s">
        <v>106</v>
      </c>
      <c r="I477" s="69" t="s">
        <v>129</v>
      </c>
      <c r="J477" s="72">
        <v>400</v>
      </c>
    </row>
    <row r="478" spans="1:10" ht="15" customHeight="1">
      <c r="A478" s="70">
        <v>43964</v>
      </c>
      <c r="B478" s="69" t="s">
        <v>585</v>
      </c>
      <c r="C478" s="69" t="s">
        <v>103</v>
      </c>
      <c r="D478" s="71">
        <v>6</v>
      </c>
      <c r="E478" s="69" t="s">
        <v>139</v>
      </c>
      <c r="F478" s="69" t="s">
        <v>105</v>
      </c>
      <c r="G478" s="69" t="s">
        <v>105</v>
      </c>
      <c r="H478" s="69" t="s">
        <v>110</v>
      </c>
      <c r="I478" s="69" t="s">
        <v>107</v>
      </c>
      <c r="J478" s="72">
        <v>400</v>
      </c>
    </row>
    <row r="479" spans="1:10" ht="15" customHeight="1">
      <c r="A479" s="70">
        <v>43964</v>
      </c>
      <c r="B479" s="69" t="s">
        <v>586</v>
      </c>
      <c r="C479" s="69" t="s">
        <v>116</v>
      </c>
      <c r="D479" s="71">
        <v>68</v>
      </c>
      <c r="E479" s="69" t="s">
        <v>113</v>
      </c>
      <c r="F479" s="69" t="s">
        <v>105</v>
      </c>
      <c r="G479" s="69" t="s">
        <v>105</v>
      </c>
      <c r="H479" s="69" t="s">
        <v>106</v>
      </c>
      <c r="I479" s="69" t="s">
        <v>111</v>
      </c>
      <c r="J479" s="72">
        <v>400</v>
      </c>
    </row>
    <row r="480" spans="1:10" ht="15" customHeight="1">
      <c r="A480" s="70">
        <v>43964</v>
      </c>
      <c r="B480" s="69" t="s">
        <v>587</v>
      </c>
      <c r="C480" s="69" t="s">
        <v>116</v>
      </c>
      <c r="D480" s="71">
        <v>36</v>
      </c>
      <c r="E480" s="69" t="s">
        <v>104</v>
      </c>
      <c r="F480" s="69" t="s">
        <v>105</v>
      </c>
      <c r="G480" s="69" t="s">
        <v>105</v>
      </c>
      <c r="H480" s="69" t="s">
        <v>128</v>
      </c>
      <c r="I480" s="69" t="s">
        <v>159</v>
      </c>
      <c r="J480" s="72">
        <v>400</v>
      </c>
    </row>
    <row r="481" spans="1:10" ht="15" customHeight="1">
      <c r="A481" s="70">
        <v>43964</v>
      </c>
      <c r="B481" s="69" t="s">
        <v>588</v>
      </c>
      <c r="C481" s="69" t="s">
        <v>116</v>
      </c>
      <c r="D481" s="71">
        <v>46</v>
      </c>
      <c r="E481" s="69" t="s">
        <v>109</v>
      </c>
      <c r="F481" s="69" t="s">
        <v>120</v>
      </c>
      <c r="G481" s="69" t="s">
        <v>121</v>
      </c>
      <c r="H481" s="69" t="s">
        <v>110</v>
      </c>
      <c r="I481" s="69" t="s">
        <v>107</v>
      </c>
      <c r="J481" s="72">
        <v>78</v>
      </c>
    </row>
    <row r="482" spans="1:10" ht="15" customHeight="1">
      <c r="A482" s="70">
        <v>43964</v>
      </c>
      <c r="B482" s="69" t="s">
        <v>389</v>
      </c>
      <c r="C482" s="69" t="s">
        <v>116</v>
      </c>
      <c r="D482" s="71">
        <v>68</v>
      </c>
      <c r="E482" s="69" t="s">
        <v>104</v>
      </c>
      <c r="F482" s="69" t="s">
        <v>105</v>
      </c>
      <c r="G482" s="69" t="s">
        <v>105</v>
      </c>
      <c r="H482" s="69" t="s">
        <v>131</v>
      </c>
      <c r="I482" s="69" t="s">
        <v>107</v>
      </c>
      <c r="J482" s="72">
        <v>400</v>
      </c>
    </row>
    <row r="483" spans="1:10" ht="15" customHeight="1">
      <c r="A483" s="70">
        <v>43964</v>
      </c>
      <c r="B483" s="69" t="s">
        <v>589</v>
      </c>
      <c r="C483" s="69" t="s">
        <v>103</v>
      </c>
      <c r="D483" s="71">
        <v>26</v>
      </c>
      <c r="E483" s="69" t="s">
        <v>139</v>
      </c>
      <c r="F483" s="69" t="s">
        <v>120</v>
      </c>
      <c r="G483" s="69" t="s">
        <v>121</v>
      </c>
      <c r="H483" s="69" t="s">
        <v>128</v>
      </c>
      <c r="I483" s="69" t="s">
        <v>111</v>
      </c>
      <c r="J483" s="72">
        <v>78</v>
      </c>
    </row>
    <row r="484" spans="1:10" ht="15" customHeight="1">
      <c r="A484" s="70">
        <v>43965</v>
      </c>
      <c r="B484" s="69" t="s">
        <v>590</v>
      </c>
      <c r="C484" s="69" t="s">
        <v>103</v>
      </c>
      <c r="D484" s="71">
        <v>55</v>
      </c>
      <c r="E484" s="69" t="s">
        <v>113</v>
      </c>
      <c r="F484" s="69" t="s">
        <v>120</v>
      </c>
      <c r="G484" s="69" t="s">
        <v>142</v>
      </c>
      <c r="H484" s="69" t="s">
        <v>128</v>
      </c>
      <c r="I484" s="69" t="s">
        <v>159</v>
      </c>
      <c r="J484" s="72">
        <v>52</v>
      </c>
    </row>
    <row r="485" spans="1:10" ht="15" customHeight="1">
      <c r="A485" s="70">
        <v>43965</v>
      </c>
      <c r="B485" s="69" t="s">
        <v>591</v>
      </c>
      <c r="C485" s="69" t="s">
        <v>116</v>
      </c>
      <c r="D485" s="71">
        <v>45</v>
      </c>
      <c r="E485" s="69" t="s">
        <v>113</v>
      </c>
      <c r="F485" s="69" t="s">
        <v>120</v>
      </c>
      <c r="G485" s="69" t="s">
        <v>121</v>
      </c>
      <c r="H485" s="69" t="s">
        <v>128</v>
      </c>
      <c r="I485" s="69" t="s">
        <v>118</v>
      </c>
      <c r="J485" s="72">
        <v>78</v>
      </c>
    </row>
    <row r="486" spans="1:10" ht="15" customHeight="1">
      <c r="A486" s="70">
        <v>43965</v>
      </c>
      <c r="B486" s="69" t="s">
        <v>592</v>
      </c>
      <c r="C486" s="69" t="s">
        <v>116</v>
      </c>
      <c r="D486" s="71">
        <v>53</v>
      </c>
      <c r="E486" s="69" t="s">
        <v>109</v>
      </c>
      <c r="F486" s="69" t="s">
        <v>105</v>
      </c>
      <c r="G486" s="69" t="s">
        <v>105</v>
      </c>
      <c r="H486" s="69" t="s">
        <v>117</v>
      </c>
      <c r="I486" s="69" t="s">
        <v>111</v>
      </c>
      <c r="J486" s="72">
        <v>400</v>
      </c>
    </row>
    <row r="487" spans="1:10" ht="15" customHeight="1">
      <c r="A487" s="70">
        <v>43965</v>
      </c>
      <c r="B487" s="69" t="s">
        <v>593</v>
      </c>
      <c r="C487" s="69" t="s">
        <v>103</v>
      </c>
      <c r="D487" s="71">
        <v>51</v>
      </c>
      <c r="E487" s="69" t="s">
        <v>113</v>
      </c>
      <c r="F487" s="69" t="s">
        <v>120</v>
      </c>
      <c r="G487" s="69" t="s">
        <v>121</v>
      </c>
      <c r="H487" s="69" t="s">
        <v>110</v>
      </c>
      <c r="I487" s="69" t="s">
        <v>114</v>
      </c>
      <c r="J487" s="72">
        <v>78</v>
      </c>
    </row>
    <row r="488" spans="1:10" ht="15" customHeight="1">
      <c r="A488" s="70">
        <v>43965</v>
      </c>
      <c r="B488" s="69" t="s">
        <v>594</v>
      </c>
      <c r="C488" s="69" t="s">
        <v>116</v>
      </c>
      <c r="D488" s="71">
        <v>68</v>
      </c>
      <c r="E488" s="69" t="s">
        <v>113</v>
      </c>
      <c r="F488" s="69" t="s">
        <v>120</v>
      </c>
      <c r="G488" s="69" t="s">
        <v>121</v>
      </c>
      <c r="H488" s="69" t="s">
        <v>128</v>
      </c>
      <c r="I488" s="69" t="s">
        <v>118</v>
      </c>
      <c r="J488" s="72">
        <v>78</v>
      </c>
    </row>
    <row r="489" spans="1:10" ht="15" customHeight="1">
      <c r="A489" s="70">
        <v>43966</v>
      </c>
      <c r="B489" s="69" t="s">
        <v>595</v>
      </c>
      <c r="C489" s="69" t="s">
        <v>116</v>
      </c>
      <c r="D489" s="71">
        <v>15</v>
      </c>
      <c r="E489" s="69" t="s">
        <v>113</v>
      </c>
      <c r="F489" s="69" t="s">
        <v>105</v>
      </c>
      <c r="G489" s="69" t="s">
        <v>105</v>
      </c>
      <c r="H489" s="69" t="s">
        <v>131</v>
      </c>
      <c r="I489" s="69" t="s">
        <v>114</v>
      </c>
      <c r="J489" s="72">
        <v>400</v>
      </c>
    </row>
    <row r="490" spans="1:10" ht="15" customHeight="1">
      <c r="A490" s="70">
        <v>43966</v>
      </c>
      <c r="B490" s="69" t="s">
        <v>596</v>
      </c>
      <c r="C490" s="69" t="s">
        <v>103</v>
      </c>
      <c r="D490" s="71">
        <v>37</v>
      </c>
      <c r="E490" s="69" t="s">
        <v>113</v>
      </c>
      <c r="F490" s="69" t="s">
        <v>105</v>
      </c>
      <c r="G490" s="69" t="s">
        <v>105</v>
      </c>
      <c r="H490" s="69" t="s">
        <v>117</v>
      </c>
      <c r="I490" s="69" t="s">
        <v>111</v>
      </c>
      <c r="J490" s="72">
        <v>400</v>
      </c>
    </row>
    <row r="491" spans="1:10" ht="15" customHeight="1">
      <c r="A491" s="70">
        <v>43966</v>
      </c>
      <c r="B491" s="69" t="s">
        <v>597</v>
      </c>
      <c r="C491" s="69" t="s">
        <v>103</v>
      </c>
      <c r="D491" s="71">
        <v>20</v>
      </c>
      <c r="E491" s="69" t="s">
        <v>113</v>
      </c>
      <c r="F491" s="69" t="s">
        <v>120</v>
      </c>
      <c r="G491" s="69" t="s">
        <v>125</v>
      </c>
      <c r="H491" s="69" t="s">
        <v>110</v>
      </c>
      <c r="I491" s="69" t="s">
        <v>129</v>
      </c>
      <c r="J491" s="72">
        <v>65</v>
      </c>
    </row>
    <row r="492" spans="1:10" ht="15" customHeight="1">
      <c r="A492" s="70">
        <v>43966</v>
      </c>
      <c r="B492" s="69" t="s">
        <v>598</v>
      </c>
      <c r="C492" s="69" t="s">
        <v>116</v>
      </c>
      <c r="D492" s="71">
        <v>74</v>
      </c>
      <c r="E492" s="69" t="s">
        <v>109</v>
      </c>
      <c r="F492" s="69" t="s">
        <v>120</v>
      </c>
      <c r="G492" s="69" t="s">
        <v>125</v>
      </c>
      <c r="H492" s="69" t="s">
        <v>110</v>
      </c>
      <c r="I492" s="69" t="s">
        <v>129</v>
      </c>
      <c r="J492" s="72">
        <v>65</v>
      </c>
    </row>
    <row r="493" spans="1:10" ht="15" customHeight="1">
      <c r="A493" s="70">
        <v>43967</v>
      </c>
      <c r="B493" s="69" t="s">
        <v>599</v>
      </c>
      <c r="C493" s="69" t="s">
        <v>103</v>
      </c>
      <c r="D493" s="71">
        <v>45</v>
      </c>
      <c r="E493" s="69" t="s">
        <v>109</v>
      </c>
      <c r="F493" s="69" t="s">
        <v>120</v>
      </c>
      <c r="G493" s="69" t="s">
        <v>142</v>
      </c>
      <c r="H493" s="69" t="s">
        <v>110</v>
      </c>
      <c r="I493" s="69" t="s">
        <v>107</v>
      </c>
      <c r="J493" s="72">
        <v>52</v>
      </c>
    </row>
    <row r="494" spans="1:10" ht="15" customHeight="1">
      <c r="A494" s="70">
        <v>43967</v>
      </c>
      <c r="B494" s="69" t="s">
        <v>252</v>
      </c>
      <c r="C494" s="69" t="s">
        <v>103</v>
      </c>
      <c r="D494" s="71">
        <v>30</v>
      </c>
      <c r="E494" s="69" t="s">
        <v>113</v>
      </c>
      <c r="F494" s="69" t="s">
        <v>105</v>
      </c>
      <c r="G494" s="69" t="s">
        <v>105</v>
      </c>
      <c r="H494" s="69" t="s">
        <v>137</v>
      </c>
      <c r="I494" s="69" t="s">
        <v>159</v>
      </c>
      <c r="J494" s="72">
        <v>400</v>
      </c>
    </row>
    <row r="495" spans="1:10" ht="15" customHeight="1">
      <c r="A495" s="70">
        <v>43967</v>
      </c>
      <c r="B495" s="69" t="s">
        <v>600</v>
      </c>
      <c r="C495" s="69" t="s">
        <v>116</v>
      </c>
      <c r="D495" s="71">
        <v>69</v>
      </c>
      <c r="E495" s="69" t="s">
        <v>113</v>
      </c>
      <c r="F495" s="69" t="s">
        <v>105</v>
      </c>
      <c r="G495" s="69" t="s">
        <v>105</v>
      </c>
      <c r="H495" s="69" t="s">
        <v>131</v>
      </c>
      <c r="I495" s="69" t="s">
        <v>111</v>
      </c>
      <c r="J495" s="72">
        <v>400</v>
      </c>
    </row>
    <row r="496" spans="1:10" ht="15" customHeight="1">
      <c r="A496" s="70">
        <v>43967</v>
      </c>
      <c r="B496" s="69" t="s">
        <v>601</v>
      </c>
      <c r="C496" s="69" t="s">
        <v>103</v>
      </c>
      <c r="D496" s="71">
        <v>67</v>
      </c>
      <c r="E496" s="69" t="s">
        <v>109</v>
      </c>
      <c r="F496" s="69" t="s">
        <v>105</v>
      </c>
      <c r="G496" s="69" t="s">
        <v>105</v>
      </c>
      <c r="H496" s="69" t="s">
        <v>106</v>
      </c>
      <c r="I496" s="69" t="s">
        <v>129</v>
      </c>
      <c r="J496" s="72">
        <v>400</v>
      </c>
    </row>
    <row r="497" spans="1:10" ht="15" customHeight="1">
      <c r="A497" s="70">
        <v>43967</v>
      </c>
      <c r="B497" s="69" t="s">
        <v>602</v>
      </c>
      <c r="C497" s="69" t="s">
        <v>103</v>
      </c>
      <c r="D497" s="71">
        <v>61</v>
      </c>
      <c r="E497" s="69" t="s">
        <v>113</v>
      </c>
      <c r="F497" s="69" t="s">
        <v>105</v>
      </c>
      <c r="G497" s="69" t="s">
        <v>105</v>
      </c>
      <c r="H497" s="69" t="s">
        <v>126</v>
      </c>
      <c r="I497" s="69" t="s">
        <v>129</v>
      </c>
      <c r="J497" s="72">
        <v>400</v>
      </c>
    </row>
    <row r="498" spans="1:10" ht="15" customHeight="1">
      <c r="A498" s="70">
        <v>43967</v>
      </c>
      <c r="B498" s="69" t="s">
        <v>603</v>
      </c>
      <c r="C498" s="69" t="s">
        <v>103</v>
      </c>
      <c r="D498" s="71">
        <v>9</v>
      </c>
      <c r="E498" s="69" t="s">
        <v>113</v>
      </c>
      <c r="F498" s="69" t="s">
        <v>105</v>
      </c>
      <c r="G498" s="69" t="s">
        <v>105</v>
      </c>
      <c r="H498" s="69" t="s">
        <v>110</v>
      </c>
      <c r="I498" s="69" t="s">
        <v>159</v>
      </c>
      <c r="J498" s="72">
        <v>400</v>
      </c>
    </row>
    <row r="499" spans="1:10" ht="15" customHeight="1">
      <c r="A499" s="70">
        <v>43968</v>
      </c>
      <c r="B499" s="69" t="s">
        <v>604</v>
      </c>
      <c r="C499" s="69" t="s">
        <v>116</v>
      </c>
      <c r="D499" s="71">
        <v>28</v>
      </c>
      <c r="E499" s="69" t="s">
        <v>109</v>
      </c>
      <c r="F499" s="69" t="s">
        <v>105</v>
      </c>
      <c r="G499" s="69" t="s">
        <v>105</v>
      </c>
      <c r="H499" s="69" t="s">
        <v>137</v>
      </c>
      <c r="I499" s="69" t="s">
        <v>107</v>
      </c>
      <c r="J499" s="72">
        <v>400</v>
      </c>
    </row>
    <row r="500" spans="1:10" ht="15" customHeight="1">
      <c r="A500" s="70">
        <v>43968</v>
      </c>
      <c r="B500" s="69" t="s">
        <v>605</v>
      </c>
      <c r="C500" s="69" t="s">
        <v>103</v>
      </c>
      <c r="D500" s="71">
        <v>74</v>
      </c>
      <c r="E500" s="69" t="s">
        <v>113</v>
      </c>
      <c r="F500" s="69" t="s">
        <v>105</v>
      </c>
      <c r="G500" s="69" t="s">
        <v>105</v>
      </c>
      <c r="H500" s="69" t="s">
        <v>117</v>
      </c>
      <c r="I500" s="69" t="s">
        <v>111</v>
      </c>
      <c r="J500" s="72">
        <v>400</v>
      </c>
    </row>
    <row r="501" spans="1:10" ht="15" customHeight="1">
      <c r="A501" s="70">
        <v>43968</v>
      </c>
      <c r="B501" s="69" t="s">
        <v>606</v>
      </c>
      <c r="C501" s="69" t="s">
        <v>116</v>
      </c>
      <c r="D501" s="71">
        <v>2</v>
      </c>
      <c r="E501" s="69" t="s">
        <v>139</v>
      </c>
      <c r="F501" s="69" t="s">
        <v>105</v>
      </c>
      <c r="G501" s="69" t="s">
        <v>105</v>
      </c>
      <c r="H501" s="69" t="s">
        <v>117</v>
      </c>
      <c r="I501" s="69" t="s">
        <v>118</v>
      </c>
      <c r="J501" s="72">
        <v>400</v>
      </c>
    </row>
    <row r="502" spans="1:10" ht="15" customHeight="1">
      <c r="A502" s="70">
        <v>43968</v>
      </c>
      <c r="B502" s="69" t="s">
        <v>607</v>
      </c>
      <c r="C502" s="69" t="s">
        <v>103</v>
      </c>
      <c r="D502" s="71">
        <v>11</v>
      </c>
      <c r="E502" s="69" t="s">
        <v>113</v>
      </c>
      <c r="F502" s="69" t="s">
        <v>105</v>
      </c>
      <c r="G502" s="69" t="s">
        <v>105</v>
      </c>
      <c r="H502" s="69" t="s">
        <v>145</v>
      </c>
      <c r="I502" s="69" t="s">
        <v>129</v>
      </c>
      <c r="J502" s="72">
        <v>400</v>
      </c>
    </row>
    <row r="503" spans="1:10" ht="15" customHeight="1">
      <c r="A503" s="70">
        <v>43968</v>
      </c>
      <c r="B503" s="69" t="s">
        <v>608</v>
      </c>
      <c r="C503" s="69" t="s">
        <v>103</v>
      </c>
      <c r="D503" s="71">
        <v>21</v>
      </c>
      <c r="E503" s="69" t="s">
        <v>109</v>
      </c>
      <c r="F503" s="69" t="s">
        <v>120</v>
      </c>
      <c r="G503" s="69" t="s">
        <v>125</v>
      </c>
      <c r="H503" s="69" t="s">
        <v>131</v>
      </c>
      <c r="I503" s="69" t="s">
        <v>111</v>
      </c>
      <c r="J503" s="72">
        <v>65</v>
      </c>
    </row>
    <row r="504" spans="1:10" ht="15" customHeight="1">
      <c r="A504" s="70">
        <v>43969</v>
      </c>
      <c r="B504" s="69" t="s">
        <v>609</v>
      </c>
      <c r="C504" s="69" t="s">
        <v>116</v>
      </c>
      <c r="D504" s="71">
        <v>63</v>
      </c>
      <c r="E504" s="69" t="s">
        <v>113</v>
      </c>
      <c r="F504" s="69" t="s">
        <v>105</v>
      </c>
      <c r="G504" s="69" t="s">
        <v>105</v>
      </c>
      <c r="H504" s="69" t="s">
        <v>117</v>
      </c>
      <c r="I504" s="69" t="s">
        <v>118</v>
      </c>
      <c r="J504" s="72">
        <v>400</v>
      </c>
    </row>
    <row r="505" spans="1:10" ht="15" customHeight="1">
      <c r="A505" s="70">
        <v>43969</v>
      </c>
      <c r="B505" s="69" t="s">
        <v>610</v>
      </c>
      <c r="C505" s="69" t="s">
        <v>103</v>
      </c>
      <c r="D505" s="71">
        <v>17</v>
      </c>
      <c r="E505" s="69" t="s">
        <v>109</v>
      </c>
      <c r="F505" s="69" t="s">
        <v>120</v>
      </c>
      <c r="G505" s="69" t="s">
        <v>121</v>
      </c>
      <c r="H505" s="69" t="s">
        <v>110</v>
      </c>
      <c r="I505" s="69" t="s">
        <v>118</v>
      </c>
      <c r="J505" s="72">
        <v>78</v>
      </c>
    </row>
    <row r="506" spans="1:10" ht="15" customHeight="1">
      <c r="A506" s="70">
        <v>43969</v>
      </c>
      <c r="B506" s="69" t="s">
        <v>611</v>
      </c>
      <c r="C506" s="69" t="s">
        <v>116</v>
      </c>
      <c r="D506" s="71">
        <v>36</v>
      </c>
      <c r="E506" s="69" t="s">
        <v>113</v>
      </c>
      <c r="F506" s="69" t="s">
        <v>105</v>
      </c>
      <c r="G506" s="69" t="s">
        <v>105</v>
      </c>
      <c r="H506" s="69" t="s">
        <v>106</v>
      </c>
      <c r="I506" s="69" t="s">
        <v>114</v>
      </c>
      <c r="J506" s="72">
        <v>400</v>
      </c>
    </row>
    <row r="507" spans="1:10" ht="15" customHeight="1">
      <c r="A507" s="70">
        <v>43969</v>
      </c>
      <c r="B507" s="69" t="s">
        <v>612</v>
      </c>
      <c r="C507" s="69" t="s">
        <v>103</v>
      </c>
      <c r="D507" s="71">
        <v>36</v>
      </c>
      <c r="E507" s="69" t="s">
        <v>109</v>
      </c>
      <c r="F507" s="69" t="s">
        <v>105</v>
      </c>
      <c r="G507" s="69" t="s">
        <v>105</v>
      </c>
      <c r="H507" s="69" t="s">
        <v>145</v>
      </c>
      <c r="I507" s="69" t="s">
        <v>111</v>
      </c>
      <c r="J507" s="72">
        <v>400</v>
      </c>
    </row>
    <row r="508" spans="1:10" ht="15" customHeight="1">
      <c r="A508" s="70">
        <v>43970</v>
      </c>
      <c r="B508" s="69" t="s">
        <v>613</v>
      </c>
      <c r="C508" s="69" t="s">
        <v>116</v>
      </c>
      <c r="D508" s="71">
        <v>74</v>
      </c>
      <c r="E508" s="69" t="s">
        <v>113</v>
      </c>
      <c r="F508" s="69" t="s">
        <v>120</v>
      </c>
      <c r="G508" s="69" t="s">
        <v>142</v>
      </c>
      <c r="H508" s="69" t="s">
        <v>126</v>
      </c>
      <c r="I508" s="69" t="s">
        <v>107</v>
      </c>
      <c r="J508" s="72">
        <v>52</v>
      </c>
    </row>
    <row r="509" spans="1:10" ht="15" customHeight="1">
      <c r="A509" s="70">
        <v>43971</v>
      </c>
      <c r="B509" s="69" t="s">
        <v>614</v>
      </c>
      <c r="C509" s="69" t="s">
        <v>116</v>
      </c>
      <c r="D509" s="71">
        <v>31</v>
      </c>
      <c r="E509" s="69" t="s">
        <v>109</v>
      </c>
      <c r="F509" s="69" t="s">
        <v>105</v>
      </c>
      <c r="G509" s="69" t="s">
        <v>105</v>
      </c>
      <c r="H509" s="69" t="s">
        <v>117</v>
      </c>
      <c r="I509" s="69" t="s">
        <v>129</v>
      </c>
      <c r="J509" s="72">
        <v>400</v>
      </c>
    </row>
    <row r="510" spans="1:10" ht="15" customHeight="1">
      <c r="A510" s="70">
        <v>43971</v>
      </c>
      <c r="B510" s="69" t="s">
        <v>615</v>
      </c>
      <c r="C510" s="69" t="s">
        <v>116</v>
      </c>
      <c r="D510" s="71">
        <v>43</v>
      </c>
      <c r="E510" s="69" t="s">
        <v>139</v>
      </c>
      <c r="F510" s="69" t="s">
        <v>120</v>
      </c>
      <c r="G510" s="69" t="s">
        <v>123</v>
      </c>
      <c r="H510" s="69" t="s">
        <v>110</v>
      </c>
      <c r="I510" s="69" t="s">
        <v>111</v>
      </c>
      <c r="J510" s="72">
        <v>90</v>
      </c>
    </row>
    <row r="511" spans="1:10" ht="15" customHeight="1">
      <c r="A511" s="70">
        <v>43971</v>
      </c>
      <c r="B511" s="69" t="s">
        <v>616</v>
      </c>
      <c r="C511" s="69" t="s">
        <v>116</v>
      </c>
      <c r="D511" s="71">
        <v>20</v>
      </c>
      <c r="E511" s="69" t="s">
        <v>109</v>
      </c>
      <c r="F511" s="69" t="s">
        <v>120</v>
      </c>
      <c r="G511" s="69" t="s">
        <v>125</v>
      </c>
      <c r="H511" s="69" t="s">
        <v>128</v>
      </c>
      <c r="I511" s="69" t="s">
        <v>118</v>
      </c>
      <c r="J511" s="72">
        <v>65</v>
      </c>
    </row>
    <row r="512" spans="1:10" ht="15" customHeight="1">
      <c r="A512" s="70">
        <v>43971</v>
      </c>
      <c r="B512" s="69" t="s">
        <v>617</v>
      </c>
      <c r="C512" s="69" t="s">
        <v>116</v>
      </c>
      <c r="D512" s="71">
        <v>62</v>
      </c>
      <c r="E512" s="69" t="s">
        <v>113</v>
      </c>
      <c r="F512" s="69" t="s">
        <v>120</v>
      </c>
      <c r="G512" s="69" t="s">
        <v>121</v>
      </c>
      <c r="H512" s="69" t="s">
        <v>145</v>
      </c>
      <c r="I512" s="69" t="s">
        <v>129</v>
      </c>
      <c r="J512" s="72">
        <v>78</v>
      </c>
    </row>
    <row r="513" spans="1:10" ht="15" customHeight="1">
      <c r="A513" s="70">
        <v>43972</v>
      </c>
      <c r="B513" s="69" t="s">
        <v>618</v>
      </c>
      <c r="C513" s="69" t="s">
        <v>116</v>
      </c>
      <c r="D513" s="71">
        <v>56</v>
      </c>
      <c r="E513" s="69" t="s">
        <v>109</v>
      </c>
      <c r="F513" s="69" t="s">
        <v>105</v>
      </c>
      <c r="G513" s="69" t="s">
        <v>105</v>
      </c>
      <c r="H513" s="69" t="s">
        <v>137</v>
      </c>
      <c r="I513" s="69" t="s">
        <v>118</v>
      </c>
      <c r="J513" s="72">
        <v>400</v>
      </c>
    </row>
    <row r="514" spans="1:10" ht="15" customHeight="1">
      <c r="A514" s="70">
        <v>43972</v>
      </c>
      <c r="B514" s="69" t="s">
        <v>619</v>
      </c>
      <c r="C514" s="69" t="s">
        <v>103</v>
      </c>
      <c r="D514" s="71">
        <v>61</v>
      </c>
      <c r="E514" s="69" t="s">
        <v>113</v>
      </c>
      <c r="F514" s="69" t="s">
        <v>120</v>
      </c>
      <c r="G514" s="69" t="s">
        <v>142</v>
      </c>
      <c r="H514" s="69" t="s">
        <v>110</v>
      </c>
      <c r="I514" s="69" t="s">
        <v>107</v>
      </c>
      <c r="J514" s="72">
        <v>52</v>
      </c>
    </row>
    <row r="515" spans="1:10" ht="15" customHeight="1">
      <c r="A515" s="70">
        <v>43972</v>
      </c>
      <c r="B515" s="69" t="s">
        <v>620</v>
      </c>
      <c r="C515" s="69" t="s">
        <v>116</v>
      </c>
      <c r="D515" s="71">
        <v>21</v>
      </c>
      <c r="E515" s="69" t="s">
        <v>113</v>
      </c>
      <c r="F515" s="69" t="s">
        <v>120</v>
      </c>
      <c r="G515" s="69" t="s">
        <v>121</v>
      </c>
      <c r="H515" s="69" t="s">
        <v>137</v>
      </c>
      <c r="I515" s="69" t="s">
        <v>114</v>
      </c>
      <c r="J515" s="72">
        <v>78</v>
      </c>
    </row>
    <row r="516" spans="1:10" ht="15" customHeight="1">
      <c r="A516" s="70">
        <v>43973</v>
      </c>
      <c r="B516" s="69" t="s">
        <v>621</v>
      </c>
      <c r="C516" s="69" t="s">
        <v>116</v>
      </c>
      <c r="D516" s="71">
        <v>8</v>
      </c>
      <c r="E516" s="69" t="s">
        <v>113</v>
      </c>
      <c r="F516" s="69" t="s">
        <v>105</v>
      </c>
      <c r="G516" s="69" t="s">
        <v>105</v>
      </c>
      <c r="H516" s="69" t="s">
        <v>110</v>
      </c>
      <c r="I516" s="69" t="s">
        <v>114</v>
      </c>
      <c r="J516" s="72">
        <v>400</v>
      </c>
    </row>
    <row r="517" spans="1:10" ht="15" customHeight="1">
      <c r="A517" s="70">
        <v>43973</v>
      </c>
      <c r="B517" s="69" t="s">
        <v>622</v>
      </c>
      <c r="C517" s="69" t="s">
        <v>103</v>
      </c>
      <c r="D517" s="71">
        <v>32</v>
      </c>
      <c r="E517" s="69" t="s">
        <v>139</v>
      </c>
      <c r="F517" s="69" t="s">
        <v>105</v>
      </c>
      <c r="G517" s="69" t="s">
        <v>105</v>
      </c>
      <c r="H517" s="69" t="s">
        <v>106</v>
      </c>
      <c r="I517" s="69" t="s">
        <v>111</v>
      </c>
      <c r="J517" s="72">
        <v>400</v>
      </c>
    </row>
    <row r="518" spans="1:10" ht="15" customHeight="1">
      <c r="A518" s="70">
        <v>43973</v>
      </c>
      <c r="B518" s="69" t="s">
        <v>623</v>
      </c>
      <c r="C518" s="69" t="s">
        <v>116</v>
      </c>
      <c r="D518" s="71">
        <v>4</v>
      </c>
      <c r="E518" s="69" t="s">
        <v>104</v>
      </c>
      <c r="F518" s="69" t="s">
        <v>120</v>
      </c>
      <c r="G518" s="69" t="s">
        <v>123</v>
      </c>
      <c r="H518" s="69" t="s">
        <v>137</v>
      </c>
      <c r="I518" s="69" t="s">
        <v>114</v>
      </c>
      <c r="J518" s="72">
        <v>90</v>
      </c>
    </row>
    <row r="519" spans="1:10" ht="15" customHeight="1">
      <c r="A519" s="70">
        <v>43973</v>
      </c>
      <c r="B519" s="69" t="s">
        <v>624</v>
      </c>
      <c r="C519" s="69" t="s">
        <v>116</v>
      </c>
      <c r="D519" s="71">
        <v>38</v>
      </c>
      <c r="E519" s="69" t="s">
        <v>104</v>
      </c>
      <c r="F519" s="69" t="s">
        <v>120</v>
      </c>
      <c r="G519" s="69" t="s">
        <v>123</v>
      </c>
      <c r="H519" s="69" t="s">
        <v>106</v>
      </c>
      <c r="I519" s="69" t="s">
        <v>118</v>
      </c>
      <c r="J519" s="72">
        <v>90</v>
      </c>
    </row>
    <row r="520" spans="1:10" ht="15" customHeight="1">
      <c r="A520" s="70">
        <v>43973</v>
      </c>
      <c r="B520" s="69" t="s">
        <v>275</v>
      </c>
      <c r="C520" s="69" t="s">
        <v>103</v>
      </c>
      <c r="D520" s="71">
        <v>33</v>
      </c>
      <c r="E520" s="69" t="s">
        <v>139</v>
      </c>
      <c r="F520" s="69" t="s">
        <v>105</v>
      </c>
      <c r="G520" s="69" t="s">
        <v>105</v>
      </c>
      <c r="H520" s="69" t="s">
        <v>137</v>
      </c>
      <c r="I520" s="69" t="s">
        <v>159</v>
      </c>
      <c r="J520" s="72">
        <v>400</v>
      </c>
    </row>
    <row r="521" spans="1:10" ht="15" customHeight="1">
      <c r="A521" s="70">
        <v>43973</v>
      </c>
      <c r="B521" s="69" t="s">
        <v>625</v>
      </c>
      <c r="C521" s="69" t="s">
        <v>103</v>
      </c>
      <c r="D521" s="71">
        <v>5</v>
      </c>
      <c r="E521" s="69" t="s">
        <v>109</v>
      </c>
      <c r="F521" s="69" t="s">
        <v>105</v>
      </c>
      <c r="G521" s="69" t="s">
        <v>105</v>
      </c>
      <c r="H521" s="69" t="s">
        <v>128</v>
      </c>
      <c r="I521" s="69" t="s">
        <v>159</v>
      </c>
      <c r="J521" s="72">
        <v>400</v>
      </c>
    </row>
    <row r="522" spans="1:10" ht="15" customHeight="1">
      <c r="A522" s="70">
        <v>43974</v>
      </c>
      <c r="B522" s="69" t="s">
        <v>626</v>
      </c>
      <c r="C522" s="69" t="s">
        <v>103</v>
      </c>
      <c r="D522" s="71">
        <v>12</v>
      </c>
      <c r="E522" s="69" t="s">
        <v>109</v>
      </c>
      <c r="F522" s="69" t="s">
        <v>120</v>
      </c>
      <c r="G522" s="69" t="s">
        <v>121</v>
      </c>
      <c r="H522" s="69" t="s">
        <v>117</v>
      </c>
      <c r="I522" s="69" t="s">
        <v>114</v>
      </c>
      <c r="J522" s="72">
        <v>78</v>
      </c>
    </row>
    <row r="523" spans="1:10" ht="15" customHeight="1">
      <c r="A523" s="70">
        <v>43974</v>
      </c>
      <c r="B523" s="69" t="s">
        <v>627</v>
      </c>
      <c r="C523" s="69" t="s">
        <v>103</v>
      </c>
      <c r="D523" s="71">
        <v>64</v>
      </c>
      <c r="E523" s="69" t="s">
        <v>109</v>
      </c>
      <c r="F523" s="69" t="s">
        <v>120</v>
      </c>
      <c r="G523" s="69" t="s">
        <v>142</v>
      </c>
      <c r="H523" s="69" t="s">
        <v>106</v>
      </c>
      <c r="I523" s="69" t="s">
        <v>107</v>
      </c>
      <c r="J523" s="72">
        <v>52</v>
      </c>
    </row>
    <row r="524" spans="1:10" ht="15" customHeight="1">
      <c r="A524" s="70">
        <v>43974</v>
      </c>
      <c r="B524" s="69" t="s">
        <v>628</v>
      </c>
      <c r="C524" s="69" t="s">
        <v>103</v>
      </c>
      <c r="D524" s="71">
        <v>4</v>
      </c>
      <c r="E524" s="69" t="s">
        <v>113</v>
      </c>
      <c r="F524" s="69" t="s">
        <v>105</v>
      </c>
      <c r="G524" s="69" t="s">
        <v>105</v>
      </c>
      <c r="H524" s="69" t="s">
        <v>106</v>
      </c>
      <c r="I524" s="69" t="s">
        <v>114</v>
      </c>
      <c r="J524" s="72">
        <v>400</v>
      </c>
    </row>
    <row r="525" spans="1:10" ht="15" customHeight="1">
      <c r="A525" s="70">
        <v>43974</v>
      </c>
      <c r="B525" s="69" t="s">
        <v>629</v>
      </c>
      <c r="C525" s="69" t="s">
        <v>103</v>
      </c>
      <c r="D525" s="71">
        <v>36</v>
      </c>
      <c r="E525" s="69" t="s">
        <v>109</v>
      </c>
      <c r="F525" s="69" t="s">
        <v>120</v>
      </c>
      <c r="G525" s="69" t="s">
        <v>121</v>
      </c>
      <c r="H525" s="69" t="s">
        <v>110</v>
      </c>
      <c r="I525" s="69" t="s">
        <v>129</v>
      </c>
      <c r="J525" s="72">
        <v>78</v>
      </c>
    </row>
    <row r="526" spans="1:10" ht="15" customHeight="1">
      <c r="A526" s="70">
        <v>43974</v>
      </c>
      <c r="B526" s="69" t="s">
        <v>431</v>
      </c>
      <c r="C526" s="69" t="s">
        <v>116</v>
      </c>
      <c r="D526" s="71">
        <v>66</v>
      </c>
      <c r="E526" s="69" t="s">
        <v>113</v>
      </c>
      <c r="F526" s="69" t="s">
        <v>105</v>
      </c>
      <c r="G526" s="69" t="s">
        <v>105</v>
      </c>
      <c r="H526" s="69" t="s">
        <v>110</v>
      </c>
      <c r="I526" s="69" t="s">
        <v>107</v>
      </c>
      <c r="J526" s="72">
        <v>400</v>
      </c>
    </row>
    <row r="527" spans="1:10" ht="15" customHeight="1">
      <c r="A527" s="70">
        <v>43974</v>
      </c>
      <c r="B527" s="69" t="s">
        <v>630</v>
      </c>
      <c r="C527" s="69" t="s">
        <v>116</v>
      </c>
      <c r="D527" s="71">
        <v>12</v>
      </c>
      <c r="E527" s="69" t="s">
        <v>113</v>
      </c>
      <c r="F527" s="69" t="s">
        <v>105</v>
      </c>
      <c r="G527" s="69" t="s">
        <v>105</v>
      </c>
      <c r="H527" s="69" t="s">
        <v>106</v>
      </c>
      <c r="I527" s="69" t="s">
        <v>107</v>
      </c>
      <c r="J527" s="72">
        <v>400</v>
      </c>
    </row>
    <row r="528" spans="1:10" ht="15" customHeight="1">
      <c r="A528" s="70">
        <v>43975</v>
      </c>
      <c r="B528" s="69" t="s">
        <v>631</v>
      </c>
      <c r="C528" s="69" t="s">
        <v>116</v>
      </c>
      <c r="D528" s="71">
        <v>28</v>
      </c>
      <c r="E528" s="69" t="s">
        <v>113</v>
      </c>
      <c r="F528" s="69" t="s">
        <v>120</v>
      </c>
      <c r="G528" s="69" t="s">
        <v>123</v>
      </c>
      <c r="H528" s="69" t="s">
        <v>117</v>
      </c>
      <c r="I528" s="69" t="s">
        <v>111</v>
      </c>
      <c r="J528" s="72">
        <v>90</v>
      </c>
    </row>
    <row r="529" spans="1:10" ht="15" customHeight="1">
      <c r="A529" s="70">
        <v>43975</v>
      </c>
      <c r="B529" s="69" t="s">
        <v>632</v>
      </c>
      <c r="C529" s="69" t="s">
        <v>116</v>
      </c>
      <c r="D529" s="71">
        <v>57</v>
      </c>
      <c r="E529" s="69" t="s">
        <v>109</v>
      </c>
      <c r="F529" s="69" t="s">
        <v>105</v>
      </c>
      <c r="G529" s="69" t="s">
        <v>105</v>
      </c>
      <c r="H529" s="69" t="s">
        <v>145</v>
      </c>
      <c r="I529" s="69" t="s">
        <v>118</v>
      </c>
      <c r="J529" s="72">
        <v>400</v>
      </c>
    </row>
    <row r="530" spans="1:10" ht="15" customHeight="1">
      <c r="A530" s="70">
        <v>43975</v>
      </c>
      <c r="B530" s="69" t="s">
        <v>633</v>
      </c>
      <c r="C530" s="69" t="s">
        <v>116</v>
      </c>
      <c r="D530" s="71">
        <v>43</v>
      </c>
      <c r="E530" s="69" t="s">
        <v>104</v>
      </c>
      <c r="F530" s="69" t="s">
        <v>120</v>
      </c>
      <c r="G530" s="69" t="s">
        <v>125</v>
      </c>
      <c r="H530" s="69" t="s">
        <v>128</v>
      </c>
      <c r="I530" s="69" t="s">
        <v>129</v>
      </c>
      <c r="J530" s="72">
        <v>65</v>
      </c>
    </row>
    <row r="531" spans="1:10" ht="15" customHeight="1">
      <c r="A531" s="70">
        <v>43975</v>
      </c>
      <c r="B531" s="69" t="s">
        <v>634</v>
      </c>
      <c r="C531" s="69" t="s">
        <v>103</v>
      </c>
      <c r="D531" s="71">
        <v>9</v>
      </c>
      <c r="E531" s="69" t="s">
        <v>113</v>
      </c>
      <c r="F531" s="69" t="s">
        <v>105</v>
      </c>
      <c r="G531" s="69" t="s">
        <v>105</v>
      </c>
      <c r="H531" s="69" t="s">
        <v>137</v>
      </c>
      <c r="I531" s="69" t="s">
        <v>111</v>
      </c>
      <c r="J531" s="72">
        <v>400</v>
      </c>
    </row>
    <row r="532" spans="1:10" ht="15" customHeight="1">
      <c r="A532" s="70">
        <v>43976</v>
      </c>
      <c r="B532" s="69" t="s">
        <v>635</v>
      </c>
      <c r="C532" s="69" t="s">
        <v>103</v>
      </c>
      <c r="D532" s="71">
        <v>40</v>
      </c>
      <c r="E532" s="69" t="s">
        <v>113</v>
      </c>
      <c r="F532" s="69" t="s">
        <v>105</v>
      </c>
      <c r="G532" s="69" t="s">
        <v>105</v>
      </c>
      <c r="H532" s="69" t="s">
        <v>131</v>
      </c>
      <c r="I532" s="69" t="s">
        <v>111</v>
      </c>
      <c r="J532" s="72">
        <v>400</v>
      </c>
    </row>
    <row r="533" spans="1:10" ht="15" customHeight="1">
      <c r="A533" s="70">
        <v>43977</v>
      </c>
      <c r="B533" s="69" t="s">
        <v>451</v>
      </c>
      <c r="C533" s="69" t="s">
        <v>103</v>
      </c>
      <c r="D533" s="71">
        <v>35</v>
      </c>
      <c r="E533" s="69" t="s">
        <v>139</v>
      </c>
      <c r="F533" s="69" t="s">
        <v>105</v>
      </c>
      <c r="G533" s="69" t="s">
        <v>105</v>
      </c>
      <c r="H533" s="69" t="s">
        <v>128</v>
      </c>
      <c r="I533" s="69" t="s">
        <v>114</v>
      </c>
      <c r="J533" s="72">
        <v>400</v>
      </c>
    </row>
    <row r="534" spans="1:10" ht="15" customHeight="1">
      <c r="A534" s="70">
        <v>43977</v>
      </c>
      <c r="B534" s="69" t="s">
        <v>636</v>
      </c>
      <c r="C534" s="69" t="s">
        <v>103</v>
      </c>
      <c r="D534" s="71">
        <v>55</v>
      </c>
      <c r="E534" s="69" t="s">
        <v>113</v>
      </c>
      <c r="F534" s="69" t="s">
        <v>105</v>
      </c>
      <c r="G534" s="69" t="s">
        <v>105</v>
      </c>
      <c r="H534" s="69" t="s">
        <v>128</v>
      </c>
      <c r="I534" s="69" t="s">
        <v>114</v>
      </c>
      <c r="J534" s="72">
        <v>400</v>
      </c>
    </row>
    <row r="535" spans="1:10" ht="15" customHeight="1">
      <c r="A535" s="70">
        <v>43977</v>
      </c>
      <c r="B535" s="69" t="s">
        <v>637</v>
      </c>
      <c r="C535" s="69" t="s">
        <v>116</v>
      </c>
      <c r="D535" s="71">
        <v>51</v>
      </c>
      <c r="E535" s="69" t="s">
        <v>139</v>
      </c>
      <c r="F535" s="69" t="s">
        <v>105</v>
      </c>
      <c r="G535" s="69" t="s">
        <v>105</v>
      </c>
      <c r="H535" s="69" t="s">
        <v>106</v>
      </c>
      <c r="I535" s="69" t="s">
        <v>111</v>
      </c>
      <c r="J535" s="72">
        <v>400</v>
      </c>
    </row>
    <row r="536" spans="1:10" ht="15" customHeight="1">
      <c r="A536" s="70">
        <v>43978</v>
      </c>
      <c r="B536" s="69" t="s">
        <v>638</v>
      </c>
      <c r="C536" s="69" t="s">
        <v>103</v>
      </c>
      <c r="D536" s="71">
        <v>5</v>
      </c>
      <c r="E536" s="69" t="s">
        <v>139</v>
      </c>
      <c r="F536" s="69" t="s">
        <v>105</v>
      </c>
      <c r="G536" s="69" t="s">
        <v>105</v>
      </c>
      <c r="H536" s="69" t="s">
        <v>145</v>
      </c>
      <c r="I536" s="69" t="s">
        <v>107</v>
      </c>
      <c r="J536" s="72">
        <v>400</v>
      </c>
    </row>
    <row r="537" spans="1:10" ht="15" customHeight="1">
      <c r="A537" s="70">
        <v>43978</v>
      </c>
      <c r="B537" s="69" t="s">
        <v>639</v>
      </c>
      <c r="C537" s="69" t="s">
        <v>103</v>
      </c>
      <c r="D537" s="71">
        <v>72</v>
      </c>
      <c r="E537" s="69" t="s">
        <v>139</v>
      </c>
      <c r="F537" s="69" t="s">
        <v>120</v>
      </c>
      <c r="G537" s="69" t="s">
        <v>125</v>
      </c>
      <c r="H537" s="69" t="s">
        <v>110</v>
      </c>
      <c r="I537" s="69" t="s">
        <v>114</v>
      </c>
      <c r="J537" s="72">
        <v>65</v>
      </c>
    </row>
    <row r="538" spans="1:10" ht="15" customHeight="1">
      <c r="A538" s="70">
        <v>43978</v>
      </c>
      <c r="B538" s="69" t="s">
        <v>640</v>
      </c>
      <c r="C538" s="69" t="s">
        <v>103</v>
      </c>
      <c r="D538" s="71">
        <v>71</v>
      </c>
      <c r="E538" s="69" t="s">
        <v>104</v>
      </c>
      <c r="F538" s="69" t="s">
        <v>120</v>
      </c>
      <c r="G538" s="69" t="s">
        <v>121</v>
      </c>
      <c r="H538" s="69" t="s">
        <v>110</v>
      </c>
      <c r="I538" s="69" t="s">
        <v>114</v>
      </c>
      <c r="J538" s="72">
        <v>78</v>
      </c>
    </row>
    <row r="539" spans="1:10" ht="15" customHeight="1">
      <c r="A539" s="70">
        <v>43978</v>
      </c>
      <c r="B539" s="69" t="s">
        <v>199</v>
      </c>
      <c r="C539" s="69" t="s">
        <v>116</v>
      </c>
      <c r="D539" s="71">
        <v>49</v>
      </c>
      <c r="E539" s="69" t="s">
        <v>113</v>
      </c>
      <c r="F539" s="69" t="s">
        <v>120</v>
      </c>
      <c r="G539" s="69" t="s">
        <v>121</v>
      </c>
      <c r="H539" s="69" t="s">
        <v>117</v>
      </c>
      <c r="I539" s="69" t="s">
        <v>111</v>
      </c>
      <c r="J539" s="72">
        <v>78</v>
      </c>
    </row>
    <row r="540" spans="1:10" ht="15" customHeight="1">
      <c r="A540" s="70">
        <v>43978</v>
      </c>
      <c r="B540" s="69" t="s">
        <v>641</v>
      </c>
      <c r="C540" s="69" t="s">
        <v>103</v>
      </c>
      <c r="D540" s="71">
        <v>62</v>
      </c>
      <c r="E540" s="69" t="s">
        <v>104</v>
      </c>
      <c r="F540" s="69" t="s">
        <v>105</v>
      </c>
      <c r="G540" s="69" t="s">
        <v>105</v>
      </c>
      <c r="H540" s="69" t="s">
        <v>137</v>
      </c>
      <c r="I540" s="69" t="s">
        <v>107</v>
      </c>
      <c r="J540" s="72">
        <v>400</v>
      </c>
    </row>
    <row r="541" spans="1:10" ht="15" customHeight="1">
      <c r="A541" s="70">
        <v>43978</v>
      </c>
      <c r="B541" s="69" t="s">
        <v>642</v>
      </c>
      <c r="C541" s="69" t="s">
        <v>103</v>
      </c>
      <c r="D541" s="71">
        <v>64</v>
      </c>
      <c r="E541" s="69" t="s">
        <v>113</v>
      </c>
      <c r="F541" s="69" t="s">
        <v>120</v>
      </c>
      <c r="G541" s="69" t="s">
        <v>121</v>
      </c>
      <c r="H541" s="69" t="s">
        <v>137</v>
      </c>
      <c r="I541" s="69" t="s">
        <v>118</v>
      </c>
      <c r="J541" s="72">
        <v>78</v>
      </c>
    </row>
    <row r="542" spans="1:10" ht="15" customHeight="1">
      <c r="A542" s="70">
        <v>43978</v>
      </c>
      <c r="B542" s="69" t="s">
        <v>638</v>
      </c>
      <c r="C542" s="69" t="s">
        <v>103</v>
      </c>
      <c r="D542" s="71">
        <v>46</v>
      </c>
      <c r="E542" s="69" t="s">
        <v>109</v>
      </c>
      <c r="F542" s="69" t="s">
        <v>120</v>
      </c>
      <c r="G542" s="69" t="s">
        <v>125</v>
      </c>
      <c r="H542" s="69" t="s">
        <v>145</v>
      </c>
      <c r="I542" s="69" t="s">
        <v>118</v>
      </c>
      <c r="J542" s="72">
        <v>65</v>
      </c>
    </row>
    <row r="543" spans="1:10" ht="15" customHeight="1">
      <c r="A543" s="70">
        <v>43978</v>
      </c>
      <c r="B543" s="69" t="s">
        <v>643</v>
      </c>
      <c r="C543" s="69" t="s">
        <v>103</v>
      </c>
      <c r="D543" s="71">
        <v>74</v>
      </c>
      <c r="E543" s="69" t="s">
        <v>139</v>
      </c>
      <c r="F543" s="69" t="s">
        <v>105</v>
      </c>
      <c r="G543" s="69" t="s">
        <v>105</v>
      </c>
      <c r="H543" s="69" t="s">
        <v>106</v>
      </c>
      <c r="I543" s="69" t="s">
        <v>107</v>
      </c>
      <c r="J543" s="72">
        <v>400</v>
      </c>
    </row>
    <row r="544" spans="1:10" ht="15" customHeight="1">
      <c r="A544" s="70">
        <v>43979</v>
      </c>
      <c r="B544" s="69" t="s">
        <v>644</v>
      </c>
      <c r="C544" s="69" t="s">
        <v>103</v>
      </c>
      <c r="D544" s="71">
        <v>6</v>
      </c>
      <c r="E544" s="69" t="s">
        <v>104</v>
      </c>
      <c r="F544" s="69" t="s">
        <v>120</v>
      </c>
      <c r="G544" s="69" t="s">
        <v>121</v>
      </c>
      <c r="H544" s="69" t="s">
        <v>106</v>
      </c>
      <c r="I544" s="69" t="s">
        <v>159</v>
      </c>
      <c r="J544" s="72">
        <v>78</v>
      </c>
    </row>
    <row r="545" spans="1:10" ht="15" customHeight="1">
      <c r="A545" s="70">
        <v>43979</v>
      </c>
      <c r="B545" s="69" t="s">
        <v>645</v>
      </c>
      <c r="C545" s="69" t="s">
        <v>103</v>
      </c>
      <c r="D545" s="71">
        <v>30</v>
      </c>
      <c r="E545" s="69" t="s">
        <v>109</v>
      </c>
      <c r="F545" s="69" t="s">
        <v>120</v>
      </c>
      <c r="G545" s="69" t="s">
        <v>125</v>
      </c>
      <c r="H545" s="69" t="s">
        <v>145</v>
      </c>
      <c r="I545" s="69" t="s">
        <v>118</v>
      </c>
      <c r="J545" s="72">
        <v>65</v>
      </c>
    </row>
    <row r="546" spans="1:10" ht="15" customHeight="1">
      <c r="A546" s="70">
        <v>43979</v>
      </c>
      <c r="B546" s="69" t="s">
        <v>646</v>
      </c>
      <c r="C546" s="69" t="s">
        <v>103</v>
      </c>
      <c r="D546" s="71">
        <v>0</v>
      </c>
      <c r="E546" s="69" t="s">
        <v>104</v>
      </c>
      <c r="F546" s="69" t="s">
        <v>105</v>
      </c>
      <c r="G546" s="69" t="s">
        <v>105</v>
      </c>
      <c r="H546" s="69" t="s">
        <v>110</v>
      </c>
      <c r="I546" s="69" t="s">
        <v>111</v>
      </c>
      <c r="J546" s="72">
        <v>400</v>
      </c>
    </row>
    <row r="547" spans="1:10" ht="15" customHeight="1">
      <c r="A547" s="70">
        <v>43979</v>
      </c>
      <c r="B547" s="69" t="s">
        <v>647</v>
      </c>
      <c r="C547" s="69" t="s">
        <v>103</v>
      </c>
      <c r="D547" s="71">
        <v>38</v>
      </c>
      <c r="E547" s="69" t="s">
        <v>113</v>
      </c>
      <c r="F547" s="69" t="s">
        <v>120</v>
      </c>
      <c r="G547" s="69" t="s">
        <v>142</v>
      </c>
      <c r="H547" s="69" t="s">
        <v>128</v>
      </c>
      <c r="I547" s="69" t="s">
        <v>111</v>
      </c>
      <c r="J547" s="72">
        <v>52</v>
      </c>
    </row>
    <row r="548" spans="1:10" ht="15" customHeight="1">
      <c r="A548" s="70">
        <v>43979</v>
      </c>
      <c r="B548" s="69" t="s">
        <v>648</v>
      </c>
      <c r="C548" s="69" t="s">
        <v>116</v>
      </c>
      <c r="D548" s="71">
        <v>51</v>
      </c>
      <c r="E548" s="69" t="s">
        <v>109</v>
      </c>
      <c r="F548" s="69" t="s">
        <v>120</v>
      </c>
      <c r="G548" s="69" t="s">
        <v>125</v>
      </c>
      <c r="H548" s="69" t="s">
        <v>137</v>
      </c>
      <c r="I548" s="69" t="s">
        <v>129</v>
      </c>
      <c r="J548" s="72">
        <v>65</v>
      </c>
    </row>
    <row r="549" spans="1:10" ht="15" customHeight="1">
      <c r="A549" s="70">
        <v>43980</v>
      </c>
      <c r="B549" s="69" t="s">
        <v>649</v>
      </c>
      <c r="C549" s="69" t="s">
        <v>116</v>
      </c>
      <c r="D549" s="71">
        <v>45</v>
      </c>
      <c r="E549" s="69" t="s">
        <v>113</v>
      </c>
      <c r="F549" s="69" t="s">
        <v>120</v>
      </c>
      <c r="G549" s="69" t="s">
        <v>125</v>
      </c>
      <c r="H549" s="69" t="s">
        <v>117</v>
      </c>
      <c r="I549" s="69" t="s">
        <v>114</v>
      </c>
      <c r="J549" s="72">
        <v>65</v>
      </c>
    </row>
    <row r="550" spans="1:10" ht="15" customHeight="1">
      <c r="A550" s="70">
        <v>43980</v>
      </c>
      <c r="B550" s="69" t="s">
        <v>650</v>
      </c>
      <c r="C550" s="69" t="s">
        <v>103</v>
      </c>
      <c r="D550" s="71">
        <v>48</v>
      </c>
      <c r="E550" s="69" t="s">
        <v>104</v>
      </c>
      <c r="F550" s="69" t="s">
        <v>120</v>
      </c>
      <c r="G550" s="69" t="s">
        <v>121</v>
      </c>
      <c r="H550" s="69" t="s">
        <v>106</v>
      </c>
      <c r="I550" s="69" t="s">
        <v>159</v>
      </c>
      <c r="J550" s="72">
        <v>78</v>
      </c>
    </row>
    <row r="551" spans="1:10" ht="15" customHeight="1">
      <c r="A551" s="70">
        <v>43980</v>
      </c>
      <c r="B551" s="69" t="s">
        <v>651</v>
      </c>
      <c r="C551" s="69" t="s">
        <v>116</v>
      </c>
      <c r="D551" s="71">
        <v>16</v>
      </c>
      <c r="E551" s="69" t="s">
        <v>109</v>
      </c>
      <c r="F551" s="69" t="s">
        <v>105</v>
      </c>
      <c r="G551" s="69" t="s">
        <v>105</v>
      </c>
      <c r="H551" s="69" t="s">
        <v>145</v>
      </c>
      <c r="I551" s="69" t="s">
        <v>111</v>
      </c>
      <c r="J551" s="72">
        <v>400</v>
      </c>
    </row>
    <row r="552" spans="1:10" ht="15" customHeight="1">
      <c r="A552" s="70">
        <v>43980</v>
      </c>
      <c r="B552" s="69" t="s">
        <v>652</v>
      </c>
      <c r="C552" s="69" t="s">
        <v>116</v>
      </c>
      <c r="D552" s="71">
        <v>64</v>
      </c>
      <c r="E552" s="69" t="s">
        <v>109</v>
      </c>
      <c r="F552" s="69" t="s">
        <v>105</v>
      </c>
      <c r="G552" s="69" t="s">
        <v>105</v>
      </c>
      <c r="H552" s="69" t="s">
        <v>145</v>
      </c>
      <c r="I552" s="69" t="s">
        <v>107</v>
      </c>
      <c r="J552" s="72">
        <v>400</v>
      </c>
    </row>
    <row r="553" spans="1:10" ht="15" customHeight="1">
      <c r="A553" s="70">
        <v>43980</v>
      </c>
      <c r="B553" s="69" t="s">
        <v>225</v>
      </c>
      <c r="C553" s="69" t="s">
        <v>116</v>
      </c>
      <c r="D553" s="71">
        <v>37</v>
      </c>
      <c r="E553" s="69" t="s">
        <v>113</v>
      </c>
      <c r="F553" s="69" t="s">
        <v>105</v>
      </c>
      <c r="G553" s="69" t="s">
        <v>105</v>
      </c>
      <c r="H553" s="69" t="s">
        <v>128</v>
      </c>
      <c r="I553" s="69" t="s">
        <v>111</v>
      </c>
      <c r="J553" s="72">
        <v>400</v>
      </c>
    </row>
    <row r="554" spans="1:10" ht="15" customHeight="1">
      <c r="A554" s="70">
        <v>43981</v>
      </c>
      <c r="B554" s="69" t="s">
        <v>653</v>
      </c>
      <c r="C554" s="69" t="s">
        <v>116</v>
      </c>
      <c r="D554" s="71">
        <v>53</v>
      </c>
      <c r="E554" s="69" t="s">
        <v>104</v>
      </c>
      <c r="F554" s="69" t="s">
        <v>120</v>
      </c>
      <c r="G554" s="69" t="s">
        <v>123</v>
      </c>
      <c r="H554" s="69" t="s">
        <v>117</v>
      </c>
      <c r="I554" s="69" t="s">
        <v>114</v>
      </c>
      <c r="J554" s="72">
        <v>90</v>
      </c>
    </row>
    <row r="555" spans="1:10" ht="15" customHeight="1">
      <c r="A555" s="70">
        <v>43981</v>
      </c>
      <c r="B555" s="69" t="s">
        <v>654</v>
      </c>
      <c r="C555" s="69" t="s">
        <v>116</v>
      </c>
      <c r="D555" s="71">
        <v>18</v>
      </c>
      <c r="E555" s="69" t="s">
        <v>139</v>
      </c>
      <c r="F555" s="69" t="s">
        <v>105</v>
      </c>
      <c r="G555" s="69" t="s">
        <v>105</v>
      </c>
      <c r="H555" s="69" t="s">
        <v>117</v>
      </c>
      <c r="I555" s="69" t="s">
        <v>111</v>
      </c>
      <c r="J555" s="72">
        <v>400</v>
      </c>
    </row>
    <row r="556" spans="1:10" ht="15" customHeight="1">
      <c r="A556" s="70">
        <v>43981</v>
      </c>
      <c r="B556" s="69" t="s">
        <v>655</v>
      </c>
      <c r="C556" s="69" t="s">
        <v>116</v>
      </c>
      <c r="D556" s="71">
        <v>17</v>
      </c>
      <c r="E556" s="69" t="s">
        <v>113</v>
      </c>
      <c r="F556" s="69" t="s">
        <v>120</v>
      </c>
      <c r="G556" s="69" t="s">
        <v>121</v>
      </c>
      <c r="H556" s="69" t="s">
        <v>110</v>
      </c>
      <c r="I556" s="69" t="s">
        <v>118</v>
      </c>
      <c r="J556" s="72">
        <v>78</v>
      </c>
    </row>
    <row r="557" spans="1:10" ht="15" customHeight="1">
      <c r="A557" s="70">
        <v>43981</v>
      </c>
      <c r="B557" s="69" t="s">
        <v>656</v>
      </c>
      <c r="C557" s="69" t="s">
        <v>116</v>
      </c>
      <c r="D557" s="71">
        <v>30</v>
      </c>
      <c r="E557" s="69" t="s">
        <v>139</v>
      </c>
      <c r="F557" s="69" t="s">
        <v>105</v>
      </c>
      <c r="G557" s="69" t="s">
        <v>105</v>
      </c>
      <c r="H557" s="69" t="s">
        <v>117</v>
      </c>
      <c r="I557" s="69" t="s">
        <v>111</v>
      </c>
      <c r="J557" s="72">
        <v>400</v>
      </c>
    </row>
    <row r="558" spans="1:10" ht="15" customHeight="1">
      <c r="A558" s="70">
        <v>43982</v>
      </c>
      <c r="B558" s="69" t="s">
        <v>657</v>
      </c>
      <c r="C558" s="69" t="s">
        <v>103</v>
      </c>
      <c r="D558" s="71">
        <v>64</v>
      </c>
      <c r="E558" s="69" t="s">
        <v>104</v>
      </c>
      <c r="F558" s="69" t="s">
        <v>120</v>
      </c>
      <c r="G558" s="69" t="s">
        <v>123</v>
      </c>
      <c r="H558" s="69" t="s">
        <v>128</v>
      </c>
      <c r="I558" s="69" t="s">
        <v>111</v>
      </c>
      <c r="J558" s="72">
        <v>90</v>
      </c>
    </row>
    <row r="559" spans="1:10" ht="15" customHeight="1">
      <c r="A559" s="70">
        <v>43983</v>
      </c>
      <c r="B559" s="69" t="s">
        <v>134</v>
      </c>
      <c r="C559" s="69" t="s">
        <v>116</v>
      </c>
      <c r="D559" s="71">
        <v>75</v>
      </c>
      <c r="E559" s="69" t="s">
        <v>104</v>
      </c>
      <c r="F559" s="69" t="s">
        <v>120</v>
      </c>
      <c r="G559" s="69" t="s">
        <v>121</v>
      </c>
      <c r="H559" s="69" t="s">
        <v>128</v>
      </c>
      <c r="I559" s="69" t="s">
        <v>118</v>
      </c>
      <c r="J559" s="72">
        <v>78</v>
      </c>
    </row>
    <row r="560" spans="1:10" ht="15" customHeight="1">
      <c r="A560" s="70">
        <v>43983</v>
      </c>
      <c r="B560" s="69" t="s">
        <v>658</v>
      </c>
      <c r="C560" s="69" t="s">
        <v>116</v>
      </c>
      <c r="D560" s="71">
        <v>12</v>
      </c>
      <c r="E560" s="69" t="s">
        <v>139</v>
      </c>
      <c r="F560" s="69" t="s">
        <v>105</v>
      </c>
      <c r="G560" s="69" t="s">
        <v>105</v>
      </c>
      <c r="H560" s="69" t="s">
        <v>117</v>
      </c>
      <c r="I560" s="69" t="s">
        <v>118</v>
      </c>
      <c r="J560" s="72">
        <v>400</v>
      </c>
    </row>
    <row r="561" spans="1:10" ht="15" customHeight="1">
      <c r="A561" s="70">
        <v>43983</v>
      </c>
      <c r="B561" s="69" t="s">
        <v>659</v>
      </c>
      <c r="C561" s="69" t="s">
        <v>116</v>
      </c>
      <c r="D561" s="71">
        <v>75</v>
      </c>
      <c r="E561" s="69" t="s">
        <v>113</v>
      </c>
      <c r="F561" s="69" t="s">
        <v>105</v>
      </c>
      <c r="G561" s="69" t="s">
        <v>105</v>
      </c>
      <c r="H561" s="69" t="s">
        <v>106</v>
      </c>
      <c r="I561" s="69" t="s">
        <v>118</v>
      </c>
      <c r="J561" s="72">
        <v>400</v>
      </c>
    </row>
    <row r="562" spans="1:10" ht="15" customHeight="1">
      <c r="A562" s="70">
        <v>43983</v>
      </c>
      <c r="B562" s="69" t="s">
        <v>660</v>
      </c>
      <c r="C562" s="69" t="s">
        <v>116</v>
      </c>
      <c r="D562" s="71">
        <v>51</v>
      </c>
      <c r="E562" s="69" t="s">
        <v>109</v>
      </c>
      <c r="F562" s="69" t="s">
        <v>105</v>
      </c>
      <c r="G562" s="69" t="s">
        <v>105</v>
      </c>
      <c r="H562" s="69" t="s">
        <v>110</v>
      </c>
      <c r="I562" s="69" t="s">
        <v>159</v>
      </c>
      <c r="J562" s="72">
        <v>400</v>
      </c>
    </row>
    <row r="563" spans="1:10" ht="15" customHeight="1">
      <c r="A563" s="70">
        <v>43984</v>
      </c>
      <c r="B563" s="69" t="s">
        <v>661</v>
      </c>
      <c r="C563" s="69" t="s">
        <v>116</v>
      </c>
      <c r="D563" s="71">
        <v>29</v>
      </c>
      <c r="E563" s="69" t="s">
        <v>113</v>
      </c>
      <c r="F563" s="69" t="s">
        <v>105</v>
      </c>
      <c r="G563" s="69" t="s">
        <v>105</v>
      </c>
      <c r="H563" s="69" t="s">
        <v>106</v>
      </c>
      <c r="I563" s="69" t="s">
        <v>111</v>
      </c>
      <c r="J563" s="72">
        <v>400</v>
      </c>
    </row>
    <row r="564" spans="1:10" ht="15" customHeight="1">
      <c r="A564" s="70">
        <v>43984</v>
      </c>
      <c r="B564" s="69" t="s">
        <v>662</v>
      </c>
      <c r="C564" s="69" t="s">
        <v>103</v>
      </c>
      <c r="D564" s="71">
        <v>18</v>
      </c>
      <c r="E564" s="69" t="s">
        <v>113</v>
      </c>
      <c r="F564" s="69" t="s">
        <v>120</v>
      </c>
      <c r="G564" s="69" t="s">
        <v>121</v>
      </c>
      <c r="H564" s="69" t="s">
        <v>117</v>
      </c>
      <c r="I564" s="69" t="s">
        <v>107</v>
      </c>
      <c r="J564" s="72">
        <v>78</v>
      </c>
    </row>
    <row r="565" spans="1:10" ht="15" customHeight="1">
      <c r="A565" s="70">
        <v>43984</v>
      </c>
      <c r="B565" s="69" t="s">
        <v>663</v>
      </c>
      <c r="C565" s="69" t="s">
        <v>103</v>
      </c>
      <c r="D565" s="71">
        <v>2</v>
      </c>
      <c r="E565" s="69" t="s">
        <v>109</v>
      </c>
      <c r="F565" s="69" t="s">
        <v>120</v>
      </c>
      <c r="G565" s="69" t="s">
        <v>123</v>
      </c>
      <c r="H565" s="69" t="s">
        <v>131</v>
      </c>
      <c r="I565" s="69" t="s">
        <v>114</v>
      </c>
      <c r="J565" s="72">
        <v>90</v>
      </c>
    </row>
    <row r="566" spans="1:10" ht="15" customHeight="1">
      <c r="A566" s="70">
        <v>43984</v>
      </c>
      <c r="B566" s="69" t="s">
        <v>664</v>
      </c>
      <c r="C566" s="69" t="s">
        <v>116</v>
      </c>
      <c r="D566" s="71">
        <v>53</v>
      </c>
      <c r="E566" s="69" t="s">
        <v>139</v>
      </c>
      <c r="F566" s="69" t="s">
        <v>120</v>
      </c>
      <c r="G566" s="69" t="s">
        <v>121</v>
      </c>
      <c r="H566" s="69" t="s">
        <v>106</v>
      </c>
      <c r="I566" s="69" t="s">
        <v>118</v>
      </c>
      <c r="J566" s="72">
        <v>78</v>
      </c>
    </row>
    <row r="567" spans="1:10" ht="15" customHeight="1">
      <c r="A567" s="70">
        <v>43984</v>
      </c>
      <c r="B567" s="69" t="s">
        <v>665</v>
      </c>
      <c r="C567" s="69" t="s">
        <v>116</v>
      </c>
      <c r="D567" s="71">
        <v>59</v>
      </c>
      <c r="E567" s="69" t="s">
        <v>113</v>
      </c>
      <c r="F567" s="69" t="s">
        <v>105</v>
      </c>
      <c r="G567" s="69" t="s">
        <v>105</v>
      </c>
      <c r="H567" s="69" t="s">
        <v>106</v>
      </c>
      <c r="I567" s="69" t="s">
        <v>114</v>
      </c>
      <c r="J567" s="72">
        <v>400</v>
      </c>
    </row>
    <row r="568" spans="1:10" ht="15" customHeight="1">
      <c r="A568" s="70">
        <v>43984</v>
      </c>
      <c r="B568" s="69" t="s">
        <v>666</v>
      </c>
      <c r="C568" s="69" t="s">
        <v>116</v>
      </c>
      <c r="D568" s="71">
        <v>74</v>
      </c>
      <c r="E568" s="69" t="s">
        <v>139</v>
      </c>
      <c r="F568" s="69" t="s">
        <v>105</v>
      </c>
      <c r="G568" s="69" t="s">
        <v>105</v>
      </c>
      <c r="H568" s="69" t="s">
        <v>106</v>
      </c>
      <c r="I568" s="69" t="s">
        <v>107</v>
      </c>
      <c r="J568" s="72">
        <v>400</v>
      </c>
    </row>
    <row r="569" spans="1:10" ht="15" customHeight="1">
      <c r="A569" s="70">
        <v>43985</v>
      </c>
      <c r="B569" s="69" t="s">
        <v>667</v>
      </c>
      <c r="C569" s="69" t="s">
        <v>116</v>
      </c>
      <c r="D569" s="71">
        <v>20</v>
      </c>
      <c r="E569" s="69" t="s">
        <v>139</v>
      </c>
      <c r="F569" s="69" t="s">
        <v>105</v>
      </c>
      <c r="G569" s="69" t="s">
        <v>105</v>
      </c>
      <c r="H569" s="69" t="s">
        <v>106</v>
      </c>
      <c r="I569" s="69" t="s">
        <v>118</v>
      </c>
      <c r="J569" s="72">
        <v>400</v>
      </c>
    </row>
    <row r="570" spans="1:10" ht="15" customHeight="1">
      <c r="A570" s="70">
        <v>43985</v>
      </c>
      <c r="B570" s="69" t="s">
        <v>668</v>
      </c>
      <c r="C570" s="69" t="s">
        <v>116</v>
      </c>
      <c r="D570" s="71">
        <v>70</v>
      </c>
      <c r="E570" s="69" t="s">
        <v>113</v>
      </c>
      <c r="F570" s="69" t="s">
        <v>105</v>
      </c>
      <c r="G570" s="69" t="s">
        <v>105</v>
      </c>
      <c r="H570" s="69" t="s">
        <v>117</v>
      </c>
      <c r="I570" s="69" t="s">
        <v>118</v>
      </c>
      <c r="J570" s="72">
        <v>400</v>
      </c>
    </row>
    <row r="571" spans="1:10" ht="15" customHeight="1">
      <c r="A571" s="70">
        <v>43986</v>
      </c>
      <c r="B571" s="69" t="s">
        <v>669</v>
      </c>
      <c r="C571" s="69" t="s">
        <v>116</v>
      </c>
      <c r="D571" s="71">
        <v>9</v>
      </c>
      <c r="E571" s="69" t="s">
        <v>104</v>
      </c>
      <c r="F571" s="69" t="s">
        <v>105</v>
      </c>
      <c r="G571" s="69" t="s">
        <v>105</v>
      </c>
      <c r="H571" s="69" t="s">
        <v>106</v>
      </c>
      <c r="I571" s="69" t="s">
        <v>159</v>
      </c>
      <c r="J571" s="72">
        <v>400</v>
      </c>
    </row>
    <row r="572" spans="1:10" ht="15" customHeight="1">
      <c r="A572" s="70">
        <v>43986</v>
      </c>
      <c r="B572" s="69" t="s">
        <v>670</v>
      </c>
      <c r="C572" s="69" t="s">
        <v>103</v>
      </c>
      <c r="D572" s="71">
        <v>58</v>
      </c>
      <c r="E572" s="69" t="s">
        <v>109</v>
      </c>
      <c r="F572" s="69" t="s">
        <v>120</v>
      </c>
      <c r="G572" s="69" t="s">
        <v>121</v>
      </c>
      <c r="H572" s="69" t="s">
        <v>131</v>
      </c>
      <c r="I572" s="69" t="s">
        <v>159</v>
      </c>
      <c r="J572" s="72">
        <v>78</v>
      </c>
    </row>
    <row r="573" spans="1:10" ht="15" customHeight="1">
      <c r="A573" s="70">
        <v>43986</v>
      </c>
      <c r="B573" s="69" t="s">
        <v>226</v>
      </c>
      <c r="C573" s="69" t="s">
        <v>116</v>
      </c>
      <c r="D573" s="71">
        <v>7</v>
      </c>
      <c r="E573" s="69" t="s">
        <v>139</v>
      </c>
      <c r="F573" s="69" t="s">
        <v>120</v>
      </c>
      <c r="G573" s="69" t="s">
        <v>142</v>
      </c>
      <c r="H573" s="69" t="s">
        <v>126</v>
      </c>
      <c r="I573" s="69" t="s">
        <v>159</v>
      </c>
      <c r="J573" s="72">
        <v>52</v>
      </c>
    </row>
    <row r="574" spans="1:10" ht="15" customHeight="1">
      <c r="A574" s="70">
        <v>43986</v>
      </c>
      <c r="B574" s="69" t="s">
        <v>671</v>
      </c>
      <c r="C574" s="69" t="s">
        <v>116</v>
      </c>
      <c r="D574" s="71">
        <v>57</v>
      </c>
      <c r="E574" s="69" t="s">
        <v>109</v>
      </c>
      <c r="F574" s="69" t="s">
        <v>120</v>
      </c>
      <c r="G574" s="69" t="s">
        <v>121</v>
      </c>
      <c r="H574" s="69" t="s">
        <v>137</v>
      </c>
      <c r="I574" s="69" t="s">
        <v>159</v>
      </c>
      <c r="J574" s="72">
        <v>78</v>
      </c>
    </row>
    <row r="575" spans="1:10" ht="15" customHeight="1">
      <c r="A575" s="70">
        <v>43986</v>
      </c>
      <c r="B575" s="69" t="s">
        <v>672</v>
      </c>
      <c r="C575" s="69" t="s">
        <v>103</v>
      </c>
      <c r="D575" s="71">
        <v>29</v>
      </c>
      <c r="E575" s="69" t="s">
        <v>109</v>
      </c>
      <c r="F575" s="69" t="s">
        <v>105</v>
      </c>
      <c r="G575" s="69" t="s">
        <v>105</v>
      </c>
      <c r="H575" s="69" t="s">
        <v>128</v>
      </c>
      <c r="I575" s="69" t="s">
        <v>129</v>
      </c>
      <c r="J575" s="72">
        <v>400</v>
      </c>
    </row>
    <row r="576" spans="1:10" ht="15" customHeight="1">
      <c r="A576" s="70">
        <v>43987</v>
      </c>
      <c r="B576" s="69" t="s">
        <v>673</v>
      </c>
      <c r="C576" s="69" t="s">
        <v>103</v>
      </c>
      <c r="D576" s="71">
        <v>25</v>
      </c>
      <c r="E576" s="69" t="s">
        <v>139</v>
      </c>
      <c r="F576" s="69" t="s">
        <v>120</v>
      </c>
      <c r="G576" s="69" t="s">
        <v>121</v>
      </c>
      <c r="H576" s="69" t="s">
        <v>106</v>
      </c>
      <c r="I576" s="69" t="s">
        <v>114</v>
      </c>
      <c r="J576" s="72">
        <v>78</v>
      </c>
    </row>
    <row r="577" spans="1:10" ht="15" customHeight="1">
      <c r="A577" s="70">
        <v>43987</v>
      </c>
      <c r="B577" s="69" t="s">
        <v>674</v>
      </c>
      <c r="C577" s="69" t="s">
        <v>103</v>
      </c>
      <c r="D577" s="71">
        <v>64</v>
      </c>
      <c r="E577" s="69" t="s">
        <v>113</v>
      </c>
      <c r="F577" s="69" t="s">
        <v>105</v>
      </c>
      <c r="G577" s="69" t="s">
        <v>105</v>
      </c>
      <c r="H577" s="69" t="s">
        <v>145</v>
      </c>
      <c r="I577" s="69" t="s">
        <v>129</v>
      </c>
      <c r="J577" s="72">
        <v>400</v>
      </c>
    </row>
    <row r="578" spans="1:10" ht="15" customHeight="1">
      <c r="A578" s="70">
        <v>43987</v>
      </c>
      <c r="B578" s="69" t="s">
        <v>675</v>
      </c>
      <c r="C578" s="69" t="s">
        <v>103</v>
      </c>
      <c r="D578" s="71">
        <v>53</v>
      </c>
      <c r="E578" s="69" t="s">
        <v>109</v>
      </c>
      <c r="F578" s="69" t="s">
        <v>105</v>
      </c>
      <c r="G578" s="69" t="s">
        <v>105</v>
      </c>
      <c r="H578" s="69" t="s">
        <v>117</v>
      </c>
      <c r="I578" s="69" t="s">
        <v>111</v>
      </c>
      <c r="J578" s="72">
        <v>400</v>
      </c>
    </row>
    <row r="579" spans="1:10" ht="15" customHeight="1">
      <c r="A579" s="70">
        <v>43987</v>
      </c>
      <c r="B579" s="69" t="s">
        <v>676</v>
      </c>
      <c r="C579" s="69" t="s">
        <v>103</v>
      </c>
      <c r="D579" s="71">
        <v>19</v>
      </c>
      <c r="E579" s="69" t="s">
        <v>104</v>
      </c>
      <c r="F579" s="69" t="s">
        <v>105</v>
      </c>
      <c r="G579" s="69" t="s">
        <v>105</v>
      </c>
      <c r="H579" s="69" t="s">
        <v>137</v>
      </c>
      <c r="I579" s="69" t="s">
        <v>118</v>
      </c>
      <c r="J579" s="72">
        <v>400</v>
      </c>
    </row>
    <row r="580" spans="1:10" ht="15" customHeight="1">
      <c r="A580" s="70">
        <v>43988</v>
      </c>
      <c r="B580" s="69" t="s">
        <v>677</v>
      </c>
      <c r="C580" s="69" t="s">
        <v>103</v>
      </c>
      <c r="D580" s="71">
        <v>70</v>
      </c>
      <c r="E580" s="69" t="s">
        <v>113</v>
      </c>
      <c r="F580" s="69" t="s">
        <v>105</v>
      </c>
      <c r="G580" s="69" t="s">
        <v>105</v>
      </c>
      <c r="H580" s="69" t="s">
        <v>128</v>
      </c>
      <c r="I580" s="69" t="s">
        <v>107</v>
      </c>
      <c r="J580" s="72">
        <v>400</v>
      </c>
    </row>
    <row r="581" spans="1:10" ht="15" customHeight="1">
      <c r="A581" s="70">
        <v>43988</v>
      </c>
      <c r="B581" s="69" t="s">
        <v>678</v>
      </c>
      <c r="C581" s="69" t="s">
        <v>103</v>
      </c>
      <c r="D581" s="71">
        <v>2</v>
      </c>
      <c r="E581" s="69" t="s">
        <v>104</v>
      </c>
      <c r="F581" s="69" t="s">
        <v>105</v>
      </c>
      <c r="G581" s="69" t="s">
        <v>105</v>
      </c>
      <c r="H581" s="69" t="s">
        <v>128</v>
      </c>
      <c r="I581" s="69" t="s">
        <v>114</v>
      </c>
      <c r="J581" s="72">
        <v>400</v>
      </c>
    </row>
    <row r="582" spans="1:10" ht="15" customHeight="1">
      <c r="A582" s="70">
        <v>43989</v>
      </c>
      <c r="B582" s="69" t="s">
        <v>679</v>
      </c>
      <c r="C582" s="69" t="s">
        <v>116</v>
      </c>
      <c r="D582" s="71">
        <v>0</v>
      </c>
      <c r="E582" s="69" t="s">
        <v>109</v>
      </c>
      <c r="F582" s="69" t="s">
        <v>105</v>
      </c>
      <c r="G582" s="69" t="s">
        <v>105</v>
      </c>
      <c r="H582" s="69" t="s">
        <v>106</v>
      </c>
      <c r="I582" s="69" t="s">
        <v>107</v>
      </c>
      <c r="J582" s="72">
        <v>400</v>
      </c>
    </row>
    <row r="583" spans="1:10" ht="15" customHeight="1">
      <c r="A583" s="70">
        <v>43989</v>
      </c>
      <c r="B583" s="69" t="s">
        <v>680</v>
      </c>
      <c r="C583" s="69" t="s">
        <v>116</v>
      </c>
      <c r="D583" s="71">
        <v>67</v>
      </c>
      <c r="E583" s="69" t="s">
        <v>113</v>
      </c>
      <c r="F583" s="69" t="s">
        <v>120</v>
      </c>
      <c r="G583" s="69" t="s">
        <v>121</v>
      </c>
      <c r="H583" s="69" t="s">
        <v>106</v>
      </c>
      <c r="I583" s="69" t="s">
        <v>107</v>
      </c>
      <c r="J583" s="72">
        <v>78</v>
      </c>
    </row>
    <row r="584" spans="1:10" ht="15" customHeight="1">
      <c r="A584" s="70">
        <v>43989</v>
      </c>
      <c r="B584" s="69" t="s">
        <v>681</v>
      </c>
      <c r="C584" s="69" t="s">
        <v>116</v>
      </c>
      <c r="D584" s="71">
        <v>29</v>
      </c>
      <c r="E584" s="69" t="s">
        <v>109</v>
      </c>
      <c r="F584" s="69" t="s">
        <v>105</v>
      </c>
      <c r="G584" s="69" t="s">
        <v>105</v>
      </c>
      <c r="H584" s="69" t="s">
        <v>131</v>
      </c>
      <c r="I584" s="69" t="s">
        <v>118</v>
      </c>
      <c r="J584" s="72">
        <v>400</v>
      </c>
    </row>
    <row r="585" spans="1:10" ht="15" customHeight="1">
      <c r="A585" s="70">
        <v>43990</v>
      </c>
      <c r="B585" s="69" t="s">
        <v>682</v>
      </c>
      <c r="C585" s="69" t="s">
        <v>116</v>
      </c>
      <c r="D585" s="71">
        <v>56</v>
      </c>
      <c r="E585" s="69" t="s">
        <v>113</v>
      </c>
      <c r="F585" s="69" t="s">
        <v>120</v>
      </c>
      <c r="G585" s="69" t="s">
        <v>125</v>
      </c>
      <c r="H585" s="69" t="s">
        <v>110</v>
      </c>
      <c r="I585" s="69" t="s">
        <v>118</v>
      </c>
      <c r="J585" s="72">
        <v>65</v>
      </c>
    </row>
    <row r="586" spans="1:10" ht="15" customHeight="1">
      <c r="A586" s="70">
        <v>43991</v>
      </c>
      <c r="B586" s="69" t="s">
        <v>683</v>
      </c>
      <c r="C586" s="69" t="s">
        <v>116</v>
      </c>
      <c r="D586" s="71">
        <v>24</v>
      </c>
      <c r="E586" s="69" t="s">
        <v>139</v>
      </c>
      <c r="F586" s="69" t="s">
        <v>105</v>
      </c>
      <c r="G586" s="69" t="s">
        <v>105</v>
      </c>
      <c r="H586" s="69" t="s">
        <v>117</v>
      </c>
      <c r="I586" s="69" t="s">
        <v>107</v>
      </c>
      <c r="J586" s="72">
        <v>400</v>
      </c>
    </row>
    <row r="587" spans="1:10" ht="15" customHeight="1">
      <c r="A587" s="70">
        <v>43991</v>
      </c>
      <c r="B587" s="69" t="s">
        <v>684</v>
      </c>
      <c r="C587" s="69" t="s">
        <v>103</v>
      </c>
      <c r="D587" s="71">
        <v>0</v>
      </c>
      <c r="E587" s="69" t="s">
        <v>104</v>
      </c>
      <c r="F587" s="69" t="s">
        <v>105</v>
      </c>
      <c r="G587" s="69" t="s">
        <v>105</v>
      </c>
      <c r="H587" s="69" t="s">
        <v>110</v>
      </c>
      <c r="I587" s="69" t="s">
        <v>114</v>
      </c>
      <c r="J587" s="72">
        <v>400</v>
      </c>
    </row>
    <row r="588" spans="1:10" ht="15" customHeight="1">
      <c r="A588" s="70">
        <v>43991</v>
      </c>
      <c r="B588" s="69" t="s">
        <v>685</v>
      </c>
      <c r="C588" s="69" t="s">
        <v>116</v>
      </c>
      <c r="D588" s="71">
        <v>61</v>
      </c>
      <c r="E588" s="69" t="s">
        <v>113</v>
      </c>
      <c r="F588" s="69" t="s">
        <v>120</v>
      </c>
      <c r="G588" s="69" t="s">
        <v>142</v>
      </c>
      <c r="H588" s="69" t="s">
        <v>128</v>
      </c>
      <c r="I588" s="69" t="s">
        <v>118</v>
      </c>
      <c r="J588" s="72">
        <v>52</v>
      </c>
    </row>
    <row r="589" spans="1:10" ht="15" customHeight="1">
      <c r="A589" s="70">
        <v>43992</v>
      </c>
      <c r="B589" s="69" t="s">
        <v>686</v>
      </c>
      <c r="C589" s="69" t="s">
        <v>116</v>
      </c>
      <c r="D589" s="71">
        <v>23</v>
      </c>
      <c r="E589" s="69" t="s">
        <v>109</v>
      </c>
      <c r="F589" s="69" t="s">
        <v>105</v>
      </c>
      <c r="G589" s="69" t="s">
        <v>105</v>
      </c>
      <c r="H589" s="69" t="s">
        <v>106</v>
      </c>
      <c r="I589" s="69" t="s">
        <v>107</v>
      </c>
      <c r="J589" s="72">
        <v>400</v>
      </c>
    </row>
    <row r="590" spans="1:10" ht="15" customHeight="1">
      <c r="A590" s="70">
        <v>43992</v>
      </c>
      <c r="B590" s="69" t="s">
        <v>687</v>
      </c>
      <c r="C590" s="69" t="s">
        <v>103</v>
      </c>
      <c r="D590" s="71">
        <v>74</v>
      </c>
      <c r="E590" s="69" t="s">
        <v>104</v>
      </c>
      <c r="F590" s="69" t="s">
        <v>105</v>
      </c>
      <c r="G590" s="69" t="s">
        <v>105</v>
      </c>
      <c r="H590" s="69" t="s">
        <v>131</v>
      </c>
      <c r="I590" s="69" t="s">
        <v>129</v>
      </c>
      <c r="J590" s="72">
        <v>400</v>
      </c>
    </row>
    <row r="591" spans="1:10" ht="15" customHeight="1">
      <c r="A591" s="70">
        <v>43992</v>
      </c>
      <c r="B591" s="69" t="s">
        <v>688</v>
      </c>
      <c r="C591" s="69" t="s">
        <v>103</v>
      </c>
      <c r="D591" s="71">
        <v>69</v>
      </c>
      <c r="E591" s="69" t="s">
        <v>109</v>
      </c>
      <c r="F591" s="69" t="s">
        <v>105</v>
      </c>
      <c r="G591" s="69" t="s">
        <v>105</v>
      </c>
      <c r="H591" s="69" t="s">
        <v>106</v>
      </c>
      <c r="I591" s="69" t="s">
        <v>159</v>
      </c>
      <c r="J591" s="72">
        <v>400</v>
      </c>
    </row>
    <row r="592" spans="1:10" ht="15" customHeight="1">
      <c r="A592" s="70">
        <v>43992</v>
      </c>
      <c r="B592" s="69" t="s">
        <v>689</v>
      </c>
      <c r="C592" s="69" t="s">
        <v>103</v>
      </c>
      <c r="D592" s="71">
        <v>18</v>
      </c>
      <c r="E592" s="69" t="s">
        <v>109</v>
      </c>
      <c r="F592" s="69" t="s">
        <v>105</v>
      </c>
      <c r="G592" s="69" t="s">
        <v>105</v>
      </c>
      <c r="H592" s="69" t="s">
        <v>117</v>
      </c>
      <c r="I592" s="69" t="s">
        <v>114</v>
      </c>
      <c r="J592" s="72">
        <v>400</v>
      </c>
    </row>
    <row r="593" spans="1:10" ht="15" customHeight="1">
      <c r="A593" s="70">
        <v>43993</v>
      </c>
      <c r="B593" s="69" t="s">
        <v>229</v>
      </c>
      <c r="C593" s="69" t="s">
        <v>103</v>
      </c>
      <c r="D593" s="71">
        <v>29</v>
      </c>
      <c r="E593" s="69" t="s">
        <v>139</v>
      </c>
      <c r="F593" s="69" t="s">
        <v>105</v>
      </c>
      <c r="G593" s="69" t="s">
        <v>105</v>
      </c>
      <c r="H593" s="69" t="s">
        <v>131</v>
      </c>
      <c r="I593" s="69" t="s">
        <v>114</v>
      </c>
      <c r="J593" s="72">
        <v>400</v>
      </c>
    </row>
    <row r="594" spans="1:10" ht="15" customHeight="1">
      <c r="A594" s="70">
        <v>43993</v>
      </c>
      <c r="B594" s="69" t="s">
        <v>690</v>
      </c>
      <c r="C594" s="69" t="s">
        <v>116</v>
      </c>
      <c r="D594" s="71">
        <v>46</v>
      </c>
      <c r="E594" s="69" t="s">
        <v>109</v>
      </c>
      <c r="F594" s="69" t="s">
        <v>105</v>
      </c>
      <c r="G594" s="69" t="s">
        <v>105</v>
      </c>
      <c r="H594" s="69" t="s">
        <v>106</v>
      </c>
      <c r="I594" s="69" t="s">
        <v>118</v>
      </c>
      <c r="J594" s="72">
        <v>400</v>
      </c>
    </row>
    <row r="595" spans="1:10" ht="15" customHeight="1">
      <c r="A595" s="70">
        <v>43993</v>
      </c>
      <c r="B595" s="69" t="s">
        <v>691</v>
      </c>
      <c r="C595" s="69" t="s">
        <v>116</v>
      </c>
      <c r="D595" s="71">
        <v>11</v>
      </c>
      <c r="E595" s="69" t="s">
        <v>139</v>
      </c>
      <c r="F595" s="69" t="s">
        <v>120</v>
      </c>
      <c r="G595" s="69" t="s">
        <v>121</v>
      </c>
      <c r="H595" s="69" t="s">
        <v>137</v>
      </c>
      <c r="I595" s="69" t="s">
        <v>114</v>
      </c>
      <c r="J595" s="72">
        <v>78</v>
      </c>
    </row>
    <row r="596" spans="1:10" ht="15" customHeight="1">
      <c r="A596" s="70">
        <v>43993</v>
      </c>
      <c r="B596" s="69" t="s">
        <v>481</v>
      </c>
      <c r="C596" s="69" t="s">
        <v>103</v>
      </c>
      <c r="D596" s="71">
        <v>62</v>
      </c>
      <c r="E596" s="69" t="s">
        <v>104</v>
      </c>
      <c r="F596" s="69" t="s">
        <v>105</v>
      </c>
      <c r="G596" s="69" t="s">
        <v>105</v>
      </c>
      <c r="H596" s="69" t="s">
        <v>145</v>
      </c>
      <c r="I596" s="69" t="s">
        <v>111</v>
      </c>
      <c r="J596" s="72">
        <v>400</v>
      </c>
    </row>
    <row r="597" spans="1:10" ht="15" customHeight="1">
      <c r="A597" s="70">
        <v>43994</v>
      </c>
      <c r="B597" s="69" t="s">
        <v>692</v>
      </c>
      <c r="C597" s="69" t="s">
        <v>116</v>
      </c>
      <c r="D597" s="71">
        <v>43</v>
      </c>
      <c r="E597" s="69" t="s">
        <v>113</v>
      </c>
      <c r="F597" s="69" t="s">
        <v>105</v>
      </c>
      <c r="G597" s="69" t="s">
        <v>105</v>
      </c>
      <c r="H597" s="69" t="s">
        <v>137</v>
      </c>
      <c r="I597" s="69" t="s">
        <v>111</v>
      </c>
      <c r="J597" s="72">
        <v>400</v>
      </c>
    </row>
    <row r="598" spans="1:10" ht="15" customHeight="1">
      <c r="A598" s="70">
        <v>43994</v>
      </c>
      <c r="B598" s="69" t="s">
        <v>693</v>
      </c>
      <c r="C598" s="69" t="s">
        <v>116</v>
      </c>
      <c r="D598" s="71">
        <v>32</v>
      </c>
      <c r="E598" s="69" t="s">
        <v>113</v>
      </c>
      <c r="F598" s="69" t="s">
        <v>105</v>
      </c>
      <c r="G598" s="69" t="s">
        <v>105</v>
      </c>
      <c r="H598" s="69" t="s">
        <v>128</v>
      </c>
      <c r="I598" s="69" t="s">
        <v>129</v>
      </c>
      <c r="J598" s="72">
        <v>400</v>
      </c>
    </row>
    <row r="599" spans="1:10" ht="15" customHeight="1">
      <c r="A599" s="70">
        <v>43994</v>
      </c>
      <c r="B599" s="69" t="s">
        <v>694</v>
      </c>
      <c r="C599" s="69" t="s">
        <v>116</v>
      </c>
      <c r="D599" s="71">
        <v>47</v>
      </c>
      <c r="E599" s="69" t="s">
        <v>139</v>
      </c>
      <c r="F599" s="69" t="s">
        <v>120</v>
      </c>
      <c r="G599" s="69" t="s">
        <v>142</v>
      </c>
      <c r="H599" s="69" t="s">
        <v>106</v>
      </c>
      <c r="I599" s="69" t="s">
        <v>159</v>
      </c>
      <c r="J599" s="72">
        <v>52</v>
      </c>
    </row>
    <row r="600" spans="1:10" ht="15" customHeight="1">
      <c r="A600" s="70">
        <v>43995</v>
      </c>
      <c r="B600" s="69" t="s">
        <v>278</v>
      </c>
      <c r="C600" s="69" t="s">
        <v>103</v>
      </c>
      <c r="D600" s="71">
        <v>72</v>
      </c>
      <c r="E600" s="69" t="s">
        <v>113</v>
      </c>
      <c r="F600" s="69" t="s">
        <v>120</v>
      </c>
      <c r="G600" s="69" t="s">
        <v>123</v>
      </c>
      <c r="H600" s="69" t="s">
        <v>137</v>
      </c>
      <c r="I600" s="69" t="s">
        <v>118</v>
      </c>
      <c r="J600" s="72">
        <v>90</v>
      </c>
    </row>
    <row r="601" spans="1:10" ht="15" customHeight="1">
      <c r="A601" s="70">
        <v>43995</v>
      </c>
      <c r="B601" s="69" t="s">
        <v>695</v>
      </c>
      <c r="C601" s="69" t="s">
        <v>103</v>
      </c>
      <c r="D601" s="71">
        <v>1</v>
      </c>
      <c r="E601" s="69" t="s">
        <v>109</v>
      </c>
      <c r="F601" s="69" t="s">
        <v>105</v>
      </c>
      <c r="G601" s="69" t="s">
        <v>105</v>
      </c>
      <c r="H601" s="69" t="s">
        <v>137</v>
      </c>
      <c r="I601" s="69" t="s">
        <v>159</v>
      </c>
      <c r="J601" s="72">
        <v>400</v>
      </c>
    </row>
    <row r="602" spans="1:10" ht="15" customHeight="1">
      <c r="A602" s="70">
        <v>43995</v>
      </c>
      <c r="B602" s="69" t="s">
        <v>696</v>
      </c>
      <c r="C602" s="69" t="s">
        <v>103</v>
      </c>
      <c r="D602" s="71">
        <v>30</v>
      </c>
      <c r="E602" s="69" t="s">
        <v>113</v>
      </c>
      <c r="F602" s="69" t="s">
        <v>120</v>
      </c>
      <c r="G602" s="69" t="s">
        <v>125</v>
      </c>
      <c r="H602" s="69" t="s">
        <v>137</v>
      </c>
      <c r="I602" s="69" t="s">
        <v>118</v>
      </c>
      <c r="J602" s="72">
        <v>65</v>
      </c>
    </row>
    <row r="603" spans="1:10" ht="15" customHeight="1">
      <c r="A603" s="70">
        <v>43995</v>
      </c>
      <c r="B603" s="69" t="s">
        <v>697</v>
      </c>
      <c r="C603" s="69" t="s">
        <v>116</v>
      </c>
      <c r="D603" s="71">
        <v>33</v>
      </c>
      <c r="E603" s="69" t="s">
        <v>139</v>
      </c>
      <c r="F603" s="69" t="s">
        <v>120</v>
      </c>
      <c r="G603" s="69" t="s">
        <v>125</v>
      </c>
      <c r="H603" s="69" t="s">
        <v>117</v>
      </c>
      <c r="I603" s="69" t="s">
        <v>107</v>
      </c>
      <c r="J603" s="72">
        <v>65</v>
      </c>
    </row>
    <row r="604" spans="1:10" ht="15" customHeight="1">
      <c r="A604" s="70">
        <v>43995</v>
      </c>
      <c r="B604" s="69" t="s">
        <v>698</v>
      </c>
      <c r="C604" s="69" t="s">
        <v>116</v>
      </c>
      <c r="D604" s="71">
        <v>14</v>
      </c>
      <c r="E604" s="69" t="s">
        <v>113</v>
      </c>
      <c r="F604" s="69" t="s">
        <v>105</v>
      </c>
      <c r="G604" s="69" t="s">
        <v>105</v>
      </c>
      <c r="H604" s="69" t="s">
        <v>106</v>
      </c>
      <c r="I604" s="69" t="s">
        <v>129</v>
      </c>
      <c r="J604" s="72">
        <v>400</v>
      </c>
    </row>
    <row r="605" spans="1:10" ht="15" customHeight="1">
      <c r="A605" s="70">
        <v>43995</v>
      </c>
      <c r="B605" s="69" t="s">
        <v>699</v>
      </c>
      <c r="C605" s="69" t="s">
        <v>116</v>
      </c>
      <c r="D605" s="71">
        <v>6</v>
      </c>
      <c r="E605" s="69" t="s">
        <v>139</v>
      </c>
      <c r="F605" s="69" t="s">
        <v>105</v>
      </c>
      <c r="G605" s="69" t="s">
        <v>105</v>
      </c>
      <c r="H605" s="69" t="s">
        <v>131</v>
      </c>
      <c r="I605" s="69" t="s">
        <v>129</v>
      </c>
      <c r="J605" s="72">
        <v>400</v>
      </c>
    </row>
    <row r="606" spans="1:10" ht="15" customHeight="1">
      <c r="A606" s="70">
        <v>43995</v>
      </c>
      <c r="B606" s="69" t="s">
        <v>700</v>
      </c>
      <c r="C606" s="69" t="s">
        <v>103</v>
      </c>
      <c r="D606" s="71">
        <v>71</v>
      </c>
      <c r="E606" s="69" t="s">
        <v>109</v>
      </c>
      <c r="F606" s="69" t="s">
        <v>120</v>
      </c>
      <c r="G606" s="69" t="s">
        <v>142</v>
      </c>
      <c r="H606" s="69" t="s">
        <v>110</v>
      </c>
      <c r="I606" s="69" t="s">
        <v>111</v>
      </c>
      <c r="J606" s="72">
        <v>52</v>
      </c>
    </row>
    <row r="607" spans="1:10" ht="15" customHeight="1">
      <c r="A607" s="70">
        <v>43996</v>
      </c>
      <c r="B607" s="69" t="s">
        <v>701</v>
      </c>
      <c r="C607" s="69" t="s">
        <v>103</v>
      </c>
      <c r="D607" s="71">
        <v>68</v>
      </c>
      <c r="E607" s="69" t="s">
        <v>113</v>
      </c>
      <c r="F607" s="69" t="s">
        <v>120</v>
      </c>
      <c r="G607" s="69" t="s">
        <v>121</v>
      </c>
      <c r="H607" s="69" t="s">
        <v>137</v>
      </c>
      <c r="I607" s="69" t="s">
        <v>118</v>
      </c>
      <c r="J607" s="72">
        <v>78</v>
      </c>
    </row>
    <row r="608" spans="1:10" ht="15" customHeight="1">
      <c r="A608" s="70">
        <v>43996</v>
      </c>
      <c r="B608" s="69" t="s">
        <v>702</v>
      </c>
      <c r="C608" s="69" t="s">
        <v>103</v>
      </c>
      <c r="D608" s="71">
        <v>75</v>
      </c>
      <c r="E608" s="69" t="s">
        <v>104</v>
      </c>
      <c r="F608" s="69" t="s">
        <v>120</v>
      </c>
      <c r="G608" s="69" t="s">
        <v>121</v>
      </c>
      <c r="H608" s="69" t="s">
        <v>128</v>
      </c>
      <c r="I608" s="69" t="s">
        <v>118</v>
      </c>
      <c r="J608" s="72">
        <v>78</v>
      </c>
    </row>
    <row r="609" spans="1:10" ht="15" customHeight="1">
      <c r="A609" s="70">
        <v>43996</v>
      </c>
      <c r="B609" s="69" t="s">
        <v>703</v>
      </c>
      <c r="C609" s="69" t="s">
        <v>103</v>
      </c>
      <c r="D609" s="71">
        <v>37</v>
      </c>
      <c r="E609" s="69" t="s">
        <v>139</v>
      </c>
      <c r="F609" s="69" t="s">
        <v>105</v>
      </c>
      <c r="G609" s="69" t="s">
        <v>105</v>
      </c>
      <c r="H609" s="69" t="s">
        <v>145</v>
      </c>
      <c r="I609" s="69" t="s">
        <v>114</v>
      </c>
      <c r="J609" s="72">
        <v>400</v>
      </c>
    </row>
    <row r="610" spans="1:10" ht="15" customHeight="1">
      <c r="A610" s="70">
        <v>43996</v>
      </c>
      <c r="B610" s="69" t="s">
        <v>443</v>
      </c>
      <c r="C610" s="69" t="s">
        <v>116</v>
      </c>
      <c r="D610" s="71">
        <v>56</v>
      </c>
      <c r="E610" s="69" t="s">
        <v>109</v>
      </c>
      <c r="F610" s="69" t="s">
        <v>105</v>
      </c>
      <c r="G610" s="69" t="s">
        <v>105</v>
      </c>
      <c r="H610" s="69" t="s">
        <v>128</v>
      </c>
      <c r="I610" s="69" t="s">
        <v>118</v>
      </c>
      <c r="J610" s="72">
        <v>400</v>
      </c>
    </row>
    <row r="611" spans="1:10" ht="15" customHeight="1">
      <c r="A611" s="70">
        <v>43996</v>
      </c>
      <c r="B611" s="69" t="s">
        <v>704</v>
      </c>
      <c r="C611" s="69" t="s">
        <v>103</v>
      </c>
      <c r="D611" s="71">
        <v>30</v>
      </c>
      <c r="E611" s="69" t="s">
        <v>104</v>
      </c>
      <c r="F611" s="69" t="s">
        <v>120</v>
      </c>
      <c r="G611" s="69" t="s">
        <v>121</v>
      </c>
      <c r="H611" s="69" t="s">
        <v>128</v>
      </c>
      <c r="I611" s="69" t="s">
        <v>118</v>
      </c>
      <c r="J611" s="72">
        <v>78</v>
      </c>
    </row>
    <row r="612" spans="1:10" ht="15" customHeight="1">
      <c r="A612" s="70">
        <v>43996</v>
      </c>
      <c r="B612" s="69" t="s">
        <v>705</v>
      </c>
      <c r="C612" s="69" t="s">
        <v>116</v>
      </c>
      <c r="D612" s="71">
        <v>56</v>
      </c>
      <c r="E612" s="69" t="s">
        <v>113</v>
      </c>
      <c r="F612" s="69" t="s">
        <v>105</v>
      </c>
      <c r="G612" s="69" t="s">
        <v>105</v>
      </c>
      <c r="H612" s="69" t="s">
        <v>131</v>
      </c>
      <c r="I612" s="69" t="s">
        <v>159</v>
      </c>
      <c r="J612" s="72">
        <v>400</v>
      </c>
    </row>
    <row r="613" spans="1:10" ht="15" customHeight="1">
      <c r="A613" s="70">
        <v>43996</v>
      </c>
      <c r="B613" s="69" t="s">
        <v>706</v>
      </c>
      <c r="C613" s="69" t="s">
        <v>116</v>
      </c>
      <c r="D613" s="71">
        <v>10</v>
      </c>
      <c r="E613" s="69" t="s">
        <v>109</v>
      </c>
      <c r="F613" s="69" t="s">
        <v>120</v>
      </c>
      <c r="G613" s="69" t="s">
        <v>142</v>
      </c>
      <c r="H613" s="69" t="s">
        <v>128</v>
      </c>
      <c r="I613" s="69" t="s">
        <v>107</v>
      </c>
      <c r="J613" s="72">
        <v>52</v>
      </c>
    </row>
    <row r="614" spans="1:10" ht="15" customHeight="1">
      <c r="A614" s="70">
        <v>43996</v>
      </c>
      <c r="B614" s="69" t="s">
        <v>707</v>
      </c>
      <c r="C614" s="69" t="s">
        <v>116</v>
      </c>
      <c r="D614" s="71">
        <v>60</v>
      </c>
      <c r="E614" s="69" t="s">
        <v>104</v>
      </c>
      <c r="F614" s="69" t="s">
        <v>120</v>
      </c>
      <c r="G614" s="69" t="s">
        <v>121</v>
      </c>
      <c r="H614" s="69" t="s">
        <v>128</v>
      </c>
      <c r="I614" s="69" t="s">
        <v>111</v>
      </c>
      <c r="J614" s="72">
        <v>78</v>
      </c>
    </row>
    <row r="615" spans="1:10" ht="15" customHeight="1">
      <c r="A615" s="70">
        <v>43996</v>
      </c>
      <c r="B615" s="69" t="s">
        <v>708</v>
      </c>
      <c r="C615" s="69" t="s">
        <v>116</v>
      </c>
      <c r="D615" s="71">
        <v>10</v>
      </c>
      <c r="E615" s="69" t="s">
        <v>113</v>
      </c>
      <c r="F615" s="69" t="s">
        <v>120</v>
      </c>
      <c r="G615" s="69" t="s">
        <v>125</v>
      </c>
      <c r="H615" s="69" t="s">
        <v>110</v>
      </c>
      <c r="I615" s="69" t="s">
        <v>107</v>
      </c>
      <c r="J615" s="72">
        <v>65</v>
      </c>
    </row>
    <row r="616" spans="1:10" ht="15" customHeight="1">
      <c r="A616" s="70">
        <v>43996</v>
      </c>
      <c r="B616" s="69" t="s">
        <v>709</v>
      </c>
      <c r="C616" s="69" t="s">
        <v>116</v>
      </c>
      <c r="D616" s="71">
        <v>50</v>
      </c>
      <c r="E616" s="69" t="s">
        <v>104</v>
      </c>
      <c r="F616" s="69" t="s">
        <v>105</v>
      </c>
      <c r="G616" s="69" t="s">
        <v>105</v>
      </c>
      <c r="H616" s="69" t="s">
        <v>106</v>
      </c>
      <c r="I616" s="69" t="s">
        <v>159</v>
      </c>
      <c r="J616" s="72">
        <v>400</v>
      </c>
    </row>
    <row r="617" spans="1:10" ht="15" customHeight="1">
      <c r="A617" s="70">
        <v>43996</v>
      </c>
      <c r="B617" s="69" t="s">
        <v>710</v>
      </c>
      <c r="C617" s="69" t="s">
        <v>116</v>
      </c>
      <c r="D617" s="71">
        <v>35</v>
      </c>
      <c r="E617" s="69" t="s">
        <v>104</v>
      </c>
      <c r="F617" s="69" t="s">
        <v>105</v>
      </c>
      <c r="G617" s="69" t="s">
        <v>105</v>
      </c>
      <c r="H617" s="69" t="s">
        <v>128</v>
      </c>
      <c r="I617" s="69" t="s">
        <v>111</v>
      </c>
      <c r="J617" s="72">
        <v>400</v>
      </c>
    </row>
    <row r="618" spans="1:10" ht="15" customHeight="1">
      <c r="A618" s="70">
        <v>43996</v>
      </c>
      <c r="B618" s="69" t="s">
        <v>711</v>
      </c>
      <c r="C618" s="69" t="s">
        <v>103</v>
      </c>
      <c r="D618" s="71">
        <v>4</v>
      </c>
      <c r="E618" s="69" t="s">
        <v>113</v>
      </c>
      <c r="F618" s="69" t="s">
        <v>120</v>
      </c>
      <c r="G618" s="69" t="s">
        <v>125</v>
      </c>
      <c r="H618" s="69" t="s">
        <v>131</v>
      </c>
      <c r="I618" s="69" t="s">
        <v>118</v>
      </c>
      <c r="J618" s="72">
        <v>65</v>
      </c>
    </row>
    <row r="619" spans="1:10" ht="15" customHeight="1">
      <c r="A619" s="70">
        <v>43997</v>
      </c>
      <c r="B619" s="69" t="s">
        <v>712</v>
      </c>
      <c r="C619" s="69" t="s">
        <v>116</v>
      </c>
      <c r="D619" s="71">
        <v>53</v>
      </c>
      <c r="E619" s="69" t="s">
        <v>139</v>
      </c>
      <c r="F619" s="69" t="s">
        <v>120</v>
      </c>
      <c r="G619" s="69" t="s">
        <v>123</v>
      </c>
      <c r="H619" s="69" t="s">
        <v>131</v>
      </c>
      <c r="I619" s="69" t="s">
        <v>111</v>
      </c>
      <c r="J619" s="72">
        <v>90</v>
      </c>
    </row>
    <row r="620" spans="1:10" ht="15" customHeight="1">
      <c r="A620" s="70">
        <v>43997</v>
      </c>
      <c r="B620" s="69" t="s">
        <v>713</v>
      </c>
      <c r="C620" s="69" t="s">
        <v>116</v>
      </c>
      <c r="D620" s="71">
        <v>7</v>
      </c>
      <c r="E620" s="69" t="s">
        <v>139</v>
      </c>
      <c r="F620" s="69" t="s">
        <v>120</v>
      </c>
      <c r="G620" s="69" t="s">
        <v>121</v>
      </c>
      <c r="H620" s="69" t="s">
        <v>137</v>
      </c>
      <c r="I620" s="69" t="s">
        <v>129</v>
      </c>
      <c r="J620" s="72">
        <v>78</v>
      </c>
    </row>
    <row r="621" spans="1:10" ht="15" customHeight="1">
      <c r="A621" s="70">
        <v>43997</v>
      </c>
      <c r="B621" s="69" t="s">
        <v>714</v>
      </c>
      <c r="C621" s="69" t="s">
        <v>103</v>
      </c>
      <c r="D621" s="71">
        <v>38</v>
      </c>
      <c r="E621" s="69" t="s">
        <v>139</v>
      </c>
      <c r="F621" s="69" t="s">
        <v>120</v>
      </c>
      <c r="G621" s="69" t="s">
        <v>121</v>
      </c>
      <c r="H621" s="69" t="s">
        <v>131</v>
      </c>
      <c r="I621" s="69" t="s">
        <v>111</v>
      </c>
      <c r="J621" s="72">
        <v>78</v>
      </c>
    </row>
    <row r="622" spans="1:10" ht="15" customHeight="1">
      <c r="A622" s="70">
        <v>43997</v>
      </c>
      <c r="B622" s="69" t="s">
        <v>715</v>
      </c>
      <c r="C622" s="69" t="s">
        <v>116</v>
      </c>
      <c r="D622" s="71">
        <v>49</v>
      </c>
      <c r="E622" s="69" t="s">
        <v>109</v>
      </c>
      <c r="F622" s="69" t="s">
        <v>120</v>
      </c>
      <c r="G622" s="69" t="s">
        <v>121</v>
      </c>
      <c r="H622" s="69" t="s">
        <v>137</v>
      </c>
      <c r="I622" s="69" t="s">
        <v>118</v>
      </c>
      <c r="J622" s="72">
        <v>78</v>
      </c>
    </row>
    <row r="623" spans="1:10" ht="15" customHeight="1">
      <c r="A623" s="70">
        <v>43997</v>
      </c>
      <c r="B623" s="69" t="s">
        <v>716</v>
      </c>
      <c r="C623" s="69" t="s">
        <v>116</v>
      </c>
      <c r="D623" s="71">
        <v>28</v>
      </c>
      <c r="E623" s="69" t="s">
        <v>104</v>
      </c>
      <c r="F623" s="69" t="s">
        <v>120</v>
      </c>
      <c r="G623" s="69" t="s">
        <v>121</v>
      </c>
      <c r="H623" s="69" t="s">
        <v>145</v>
      </c>
      <c r="I623" s="69" t="s">
        <v>114</v>
      </c>
      <c r="J623" s="72">
        <v>78</v>
      </c>
    </row>
    <row r="624" spans="1:10" ht="15" customHeight="1">
      <c r="A624" s="70">
        <v>43997</v>
      </c>
      <c r="B624" s="69" t="s">
        <v>717</v>
      </c>
      <c r="C624" s="69" t="s">
        <v>116</v>
      </c>
      <c r="D624" s="71">
        <v>64</v>
      </c>
      <c r="E624" s="69" t="s">
        <v>113</v>
      </c>
      <c r="F624" s="69" t="s">
        <v>120</v>
      </c>
      <c r="G624" s="69" t="s">
        <v>121</v>
      </c>
      <c r="H624" s="69" t="s">
        <v>128</v>
      </c>
      <c r="I624" s="69" t="s">
        <v>107</v>
      </c>
      <c r="J624" s="72">
        <v>78</v>
      </c>
    </row>
    <row r="625" spans="1:10" ht="15" customHeight="1">
      <c r="A625" s="70">
        <v>43997</v>
      </c>
      <c r="B625" s="69" t="s">
        <v>718</v>
      </c>
      <c r="C625" s="69" t="s">
        <v>103</v>
      </c>
      <c r="D625" s="71">
        <v>10</v>
      </c>
      <c r="E625" s="69" t="s">
        <v>113</v>
      </c>
      <c r="F625" s="69" t="s">
        <v>120</v>
      </c>
      <c r="G625" s="69" t="s">
        <v>125</v>
      </c>
      <c r="H625" s="69" t="s">
        <v>110</v>
      </c>
      <c r="I625" s="69" t="s">
        <v>107</v>
      </c>
      <c r="J625" s="72">
        <v>65</v>
      </c>
    </row>
    <row r="626" spans="1:10" ht="15" customHeight="1">
      <c r="A626" s="70">
        <v>43997</v>
      </c>
      <c r="B626" s="69" t="s">
        <v>719</v>
      </c>
      <c r="C626" s="69" t="s">
        <v>116</v>
      </c>
      <c r="D626" s="71">
        <v>0</v>
      </c>
      <c r="E626" s="69" t="s">
        <v>104</v>
      </c>
      <c r="F626" s="69" t="s">
        <v>120</v>
      </c>
      <c r="G626" s="69" t="s">
        <v>121</v>
      </c>
      <c r="H626" s="69" t="s">
        <v>110</v>
      </c>
      <c r="I626" s="69" t="s">
        <v>114</v>
      </c>
      <c r="J626" s="72">
        <v>78</v>
      </c>
    </row>
    <row r="627" spans="1:10" ht="15" customHeight="1">
      <c r="A627" s="70">
        <v>43997</v>
      </c>
      <c r="B627" s="69" t="s">
        <v>720</v>
      </c>
      <c r="C627" s="69" t="s">
        <v>116</v>
      </c>
      <c r="D627" s="71">
        <v>75</v>
      </c>
      <c r="E627" s="69" t="s">
        <v>113</v>
      </c>
      <c r="F627" s="69" t="s">
        <v>105</v>
      </c>
      <c r="G627" s="69" t="s">
        <v>105</v>
      </c>
      <c r="H627" s="69" t="s">
        <v>131</v>
      </c>
      <c r="I627" s="69" t="s">
        <v>114</v>
      </c>
      <c r="J627" s="72">
        <v>400</v>
      </c>
    </row>
    <row r="628" spans="1:10" ht="15" customHeight="1">
      <c r="A628" s="70">
        <v>43997</v>
      </c>
      <c r="B628" s="69" t="s">
        <v>721</v>
      </c>
      <c r="C628" s="69" t="s">
        <v>103</v>
      </c>
      <c r="D628" s="71">
        <v>35</v>
      </c>
      <c r="E628" s="69" t="s">
        <v>109</v>
      </c>
      <c r="F628" s="69" t="s">
        <v>105</v>
      </c>
      <c r="G628" s="69" t="s">
        <v>105</v>
      </c>
      <c r="H628" s="69" t="s">
        <v>106</v>
      </c>
      <c r="I628" s="69" t="s">
        <v>111</v>
      </c>
      <c r="J628" s="72">
        <v>400</v>
      </c>
    </row>
    <row r="629" spans="1:10" ht="15" customHeight="1">
      <c r="A629" s="70">
        <v>43997</v>
      </c>
      <c r="B629" s="69" t="s">
        <v>530</v>
      </c>
      <c r="C629" s="69" t="s">
        <v>103</v>
      </c>
      <c r="D629" s="71">
        <v>74</v>
      </c>
      <c r="E629" s="69" t="s">
        <v>139</v>
      </c>
      <c r="F629" s="69" t="s">
        <v>105</v>
      </c>
      <c r="G629" s="69" t="s">
        <v>105</v>
      </c>
      <c r="H629" s="69" t="s">
        <v>106</v>
      </c>
      <c r="I629" s="69" t="s">
        <v>129</v>
      </c>
      <c r="J629" s="72">
        <v>400</v>
      </c>
    </row>
    <row r="630" spans="1:10" ht="15" customHeight="1">
      <c r="A630" s="70">
        <v>43998</v>
      </c>
      <c r="B630" s="69" t="s">
        <v>722</v>
      </c>
      <c r="C630" s="69" t="s">
        <v>116</v>
      </c>
      <c r="D630" s="71">
        <v>54</v>
      </c>
      <c r="E630" s="69" t="s">
        <v>113</v>
      </c>
      <c r="F630" s="69" t="s">
        <v>105</v>
      </c>
      <c r="G630" s="69" t="s">
        <v>105</v>
      </c>
      <c r="H630" s="69" t="s">
        <v>110</v>
      </c>
      <c r="I630" s="69" t="s">
        <v>114</v>
      </c>
      <c r="J630" s="72">
        <v>400</v>
      </c>
    </row>
    <row r="631" spans="1:10" ht="15" customHeight="1">
      <c r="A631" s="70">
        <v>43998</v>
      </c>
      <c r="B631" s="69" t="s">
        <v>723</v>
      </c>
      <c r="C631" s="69" t="s">
        <v>103</v>
      </c>
      <c r="D631" s="71">
        <v>43</v>
      </c>
      <c r="E631" s="69" t="s">
        <v>109</v>
      </c>
      <c r="F631" s="69" t="s">
        <v>105</v>
      </c>
      <c r="G631" s="69" t="s">
        <v>105</v>
      </c>
      <c r="H631" s="69" t="s">
        <v>106</v>
      </c>
      <c r="I631" s="69" t="s">
        <v>118</v>
      </c>
      <c r="J631" s="72">
        <v>400</v>
      </c>
    </row>
    <row r="632" spans="1:10" ht="15" customHeight="1">
      <c r="A632" s="70">
        <v>43998</v>
      </c>
      <c r="B632" s="69" t="s">
        <v>724</v>
      </c>
      <c r="C632" s="69" t="s">
        <v>116</v>
      </c>
      <c r="D632" s="71">
        <v>24</v>
      </c>
      <c r="E632" s="69" t="s">
        <v>113</v>
      </c>
      <c r="F632" s="69" t="s">
        <v>120</v>
      </c>
      <c r="G632" s="69" t="s">
        <v>142</v>
      </c>
      <c r="H632" s="69" t="s">
        <v>106</v>
      </c>
      <c r="I632" s="69" t="s">
        <v>107</v>
      </c>
      <c r="J632" s="72">
        <v>52</v>
      </c>
    </row>
    <row r="633" spans="1:10" ht="15" customHeight="1">
      <c r="A633" s="70">
        <v>43998</v>
      </c>
      <c r="B633" s="69" t="s">
        <v>725</v>
      </c>
      <c r="C633" s="69" t="s">
        <v>116</v>
      </c>
      <c r="D633" s="71">
        <v>43</v>
      </c>
      <c r="E633" s="69" t="s">
        <v>113</v>
      </c>
      <c r="F633" s="69" t="s">
        <v>105</v>
      </c>
      <c r="G633" s="69" t="s">
        <v>105</v>
      </c>
      <c r="H633" s="69" t="s">
        <v>137</v>
      </c>
      <c r="I633" s="69" t="s">
        <v>159</v>
      </c>
      <c r="J633" s="72">
        <v>400</v>
      </c>
    </row>
    <row r="634" spans="1:10" ht="15" customHeight="1">
      <c r="A634" s="70">
        <v>43999</v>
      </c>
      <c r="B634" s="69" t="s">
        <v>726</v>
      </c>
      <c r="C634" s="69" t="s">
        <v>116</v>
      </c>
      <c r="D634" s="71">
        <v>67</v>
      </c>
      <c r="E634" s="69" t="s">
        <v>113</v>
      </c>
      <c r="F634" s="69" t="s">
        <v>105</v>
      </c>
      <c r="G634" s="69" t="s">
        <v>105</v>
      </c>
      <c r="H634" s="69" t="s">
        <v>137</v>
      </c>
      <c r="I634" s="69" t="s">
        <v>107</v>
      </c>
      <c r="J634" s="72">
        <v>400</v>
      </c>
    </row>
    <row r="635" spans="1:10" ht="15" customHeight="1">
      <c r="A635" s="70">
        <v>43999</v>
      </c>
      <c r="B635" s="69" t="s">
        <v>727</v>
      </c>
      <c r="C635" s="69" t="s">
        <v>116</v>
      </c>
      <c r="D635" s="71">
        <v>26</v>
      </c>
      <c r="E635" s="69" t="s">
        <v>113</v>
      </c>
      <c r="F635" s="69" t="s">
        <v>105</v>
      </c>
      <c r="G635" s="69" t="s">
        <v>105</v>
      </c>
      <c r="H635" s="69" t="s">
        <v>110</v>
      </c>
      <c r="I635" s="69" t="s">
        <v>107</v>
      </c>
      <c r="J635" s="72">
        <v>400</v>
      </c>
    </row>
    <row r="636" spans="1:10" ht="15" customHeight="1">
      <c r="A636" s="70">
        <v>43999</v>
      </c>
      <c r="B636" s="69" t="s">
        <v>706</v>
      </c>
      <c r="C636" s="69" t="s">
        <v>116</v>
      </c>
      <c r="D636" s="71">
        <v>24</v>
      </c>
      <c r="E636" s="69" t="s">
        <v>139</v>
      </c>
      <c r="F636" s="69" t="s">
        <v>105</v>
      </c>
      <c r="G636" s="69" t="s">
        <v>105</v>
      </c>
      <c r="H636" s="69" t="s">
        <v>131</v>
      </c>
      <c r="I636" s="69" t="s">
        <v>114</v>
      </c>
      <c r="J636" s="72">
        <v>400</v>
      </c>
    </row>
    <row r="637" spans="1:10" ht="15" customHeight="1">
      <c r="A637" s="70">
        <v>44000</v>
      </c>
      <c r="B637" s="69" t="s">
        <v>728</v>
      </c>
      <c r="C637" s="69" t="s">
        <v>116</v>
      </c>
      <c r="D637" s="71">
        <v>21</v>
      </c>
      <c r="E637" s="69" t="s">
        <v>113</v>
      </c>
      <c r="F637" s="69" t="s">
        <v>105</v>
      </c>
      <c r="G637" s="69" t="s">
        <v>105</v>
      </c>
      <c r="H637" s="69" t="s">
        <v>131</v>
      </c>
      <c r="I637" s="69" t="s">
        <v>129</v>
      </c>
      <c r="J637" s="72">
        <v>400</v>
      </c>
    </row>
    <row r="638" spans="1:10" ht="15" customHeight="1">
      <c r="A638" s="70">
        <v>44000</v>
      </c>
      <c r="B638" s="69" t="s">
        <v>729</v>
      </c>
      <c r="C638" s="69" t="s">
        <v>116</v>
      </c>
      <c r="D638" s="71">
        <v>9</v>
      </c>
      <c r="E638" s="69" t="s">
        <v>139</v>
      </c>
      <c r="F638" s="69" t="s">
        <v>105</v>
      </c>
      <c r="G638" s="69" t="s">
        <v>105</v>
      </c>
      <c r="H638" s="69" t="s">
        <v>131</v>
      </c>
      <c r="I638" s="69" t="s">
        <v>118</v>
      </c>
      <c r="J638" s="72">
        <v>400</v>
      </c>
    </row>
    <row r="639" spans="1:10" ht="15" customHeight="1">
      <c r="A639" s="70">
        <v>44000</v>
      </c>
      <c r="B639" s="69" t="s">
        <v>730</v>
      </c>
      <c r="C639" s="69" t="s">
        <v>103</v>
      </c>
      <c r="D639" s="71">
        <v>12</v>
      </c>
      <c r="E639" s="69" t="s">
        <v>109</v>
      </c>
      <c r="F639" s="69" t="s">
        <v>120</v>
      </c>
      <c r="G639" s="69" t="s">
        <v>123</v>
      </c>
      <c r="H639" s="69" t="s">
        <v>131</v>
      </c>
      <c r="I639" s="69" t="s">
        <v>111</v>
      </c>
      <c r="J639" s="72">
        <v>90</v>
      </c>
    </row>
    <row r="640" spans="1:10" ht="15" customHeight="1">
      <c r="A640" s="70">
        <v>44000</v>
      </c>
      <c r="B640" s="69" t="s">
        <v>731</v>
      </c>
      <c r="C640" s="69" t="s">
        <v>103</v>
      </c>
      <c r="D640" s="71">
        <v>8</v>
      </c>
      <c r="E640" s="69" t="s">
        <v>104</v>
      </c>
      <c r="F640" s="69" t="s">
        <v>105</v>
      </c>
      <c r="G640" s="69" t="s">
        <v>105</v>
      </c>
      <c r="H640" s="69" t="s">
        <v>145</v>
      </c>
      <c r="I640" s="69" t="s">
        <v>114</v>
      </c>
      <c r="J640" s="72">
        <v>400</v>
      </c>
    </row>
    <row r="641" spans="1:10" ht="15" customHeight="1">
      <c r="A641" s="70">
        <v>44000</v>
      </c>
      <c r="B641" s="69" t="s">
        <v>732</v>
      </c>
      <c r="C641" s="69" t="s">
        <v>103</v>
      </c>
      <c r="D641" s="71">
        <v>12</v>
      </c>
      <c r="E641" s="69" t="s">
        <v>113</v>
      </c>
      <c r="F641" s="69" t="s">
        <v>120</v>
      </c>
      <c r="G641" s="69" t="s">
        <v>121</v>
      </c>
      <c r="H641" s="69" t="s">
        <v>128</v>
      </c>
      <c r="I641" s="69" t="s">
        <v>114</v>
      </c>
      <c r="J641" s="72">
        <v>78</v>
      </c>
    </row>
    <row r="642" spans="1:10" ht="15" customHeight="1">
      <c r="A642" s="70">
        <v>44001</v>
      </c>
      <c r="B642" s="69" t="s">
        <v>713</v>
      </c>
      <c r="C642" s="69" t="s">
        <v>116</v>
      </c>
      <c r="D642" s="71">
        <v>4</v>
      </c>
      <c r="E642" s="69" t="s">
        <v>109</v>
      </c>
      <c r="F642" s="69" t="s">
        <v>120</v>
      </c>
      <c r="G642" s="69" t="s">
        <v>123</v>
      </c>
      <c r="H642" s="69" t="s">
        <v>137</v>
      </c>
      <c r="I642" s="69" t="s">
        <v>107</v>
      </c>
      <c r="J642" s="72">
        <v>90</v>
      </c>
    </row>
    <row r="643" spans="1:10" ht="15" customHeight="1">
      <c r="A643" s="70">
        <v>44001</v>
      </c>
      <c r="B643" s="69" t="s">
        <v>733</v>
      </c>
      <c r="C643" s="69" t="s">
        <v>103</v>
      </c>
      <c r="D643" s="71">
        <v>4</v>
      </c>
      <c r="E643" s="69" t="s">
        <v>139</v>
      </c>
      <c r="F643" s="69" t="s">
        <v>105</v>
      </c>
      <c r="G643" s="69" t="s">
        <v>105</v>
      </c>
      <c r="H643" s="69" t="s">
        <v>137</v>
      </c>
      <c r="I643" s="69" t="s">
        <v>107</v>
      </c>
      <c r="J643" s="72">
        <v>400</v>
      </c>
    </row>
    <row r="644" spans="1:10" ht="15" customHeight="1">
      <c r="A644" s="70">
        <v>44002</v>
      </c>
      <c r="B644" s="69" t="s">
        <v>734</v>
      </c>
      <c r="C644" s="69" t="s">
        <v>103</v>
      </c>
      <c r="D644" s="71">
        <v>31</v>
      </c>
      <c r="E644" s="69" t="s">
        <v>113</v>
      </c>
      <c r="F644" s="69" t="s">
        <v>105</v>
      </c>
      <c r="G644" s="69" t="s">
        <v>105</v>
      </c>
      <c r="H644" s="69" t="s">
        <v>106</v>
      </c>
      <c r="I644" s="69" t="s">
        <v>114</v>
      </c>
      <c r="J644" s="72">
        <v>400</v>
      </c>
    </row>
    <row r="645" spans="1:10" ht="15" customHeight="1">
      <c r="A645" s="70">
        <v>44003</v>
      </c>
      <c r="B645" s="69" t="s">
        <v>735</v>
      </c>
      <c r="C645" s="69" t="s">
        <v>103</v>
      </c>
      <c r="D645" s="71">
        <v>22</v>
      </c>
      <c r="E645" s="69" t="s">
        <v>104</v>
      </c>
      <c r="F645" s="69" t="s">
        <v>120</v>
      </c>
      <c r="G645" s="69" t="s">
        <v>123</v>
      </c>
      <c r="H645" s="69" t="s">
        <v>145</v>
      </c>
      <c r="I645" s="69" t="s">
        <v>118</v>
      </c>
      <c r="J645" s="72">
        <v>90</v>
      </c>
    </row>
    <row r="646" spans="1:10" ht="15" customHeight="1">
      <c r="A646" s="70">
        <v>44004</v>
      </c>
      <c r="B646" s="69" t="s">
        <v>736</v>
      </c>
      <c r="C646" s="69" t="s">
        <v>116</v>
      </c>
      <c r="D646" s="71">
        <v>25</v>
      </c>
      <c r="E646" s="69" t="s">
        <v>104</v>
      </c>
      <c r="F646" s="69" t="s">
        <v>120</v>
      </c>
      <c r="G646" s="69" t="s">
        <v>125</v>
      </c>
      <c r="H646" s="69" t="s">
        <v>131</v>
      </c>
      <c r="I646" s="69" t="s">
        <v>129</v>
      </c>
      <c r="J646" s="72">
        <v>65</v>
      </c>
    </row>
    <row r="647" spans="1:10" ht="15" customHeight="1">
      <c r="A647" s="70">
        <v>44004</v>
      </c>
      <c r="B647" s="69" t="s">
        <v>737</v>
      </c>
      <c r="C647" s="69" t="s">
        <v>116</v>
      </c>
      <c r="D647" s="71">
        <v>4</v>
      </c>
      <c r="E647" s="69" t="s">
        <v>113</v>
      </c>
      <c r="F647" s="69" t="s">
        <v>105</v>
      </c>
      <c r="G647" s="69" t="s">
        <v>105</v>
      </c>
      <c r="H647" s="69" t="s">
        <v>131</v>
      </c>
      <c r="I647" s="69" t="s">
        <v>118</v>
      </c>
      <c r="J647" s="72">
        <v>400</v>
      </c>
    </row>
    <row r="648" spans="1:10" ht="15" customHeight="1">
      <c r="A648" s="70">
        <v>44005</v>
      </c>
      <c r="B648" s="69" t="s">
        <v>738</v>
      </c>
      <c r="C648" s="69" t="s">
        <v>103</v>
      </c>
      <c r="D648" s="71">
        <v>15</v>
      </c>
      <c r="E648" s="69" t="s">
        <v>113</v>
      </c>
      <c r="F648" s="69" t="s">
        <v>120</v>
      </c>
      <c r="G648" s="69" t="s">
        <v>121</v>
      </c>
      <c r="H648" s="69" t="s">
        <v>145</v>
      </c>
      <c r="I648" s="69" t="s">
        <v>111</v>
      </c>
      <c r="J648" s="72">
        <v>78</v>
      </c>
    </row>
    <row r="649" spans="1:10" ht="15" customHeight="1">
      <c r="A649" s="70">
        <v>44005</v>
      </c>
      <c r="B649" s="69" t="s">
        <v>739</v>
      </c>
      <c r="C649" s="69" t="s">
        <v>103</v>
      </c>
      <c r="D649" s="71">
        <v>70</v>
      </c>
      <c r="E649" s="69" t="s">
        <v>104</v>
      </c>
      <c r="F649" s="69" t="s">
        <v>120</v>
      </c>
      <c r="G649" s="69" t="s">
        <v>125</v>
      </c>
      <c r="H649" s="69" t="s">
        <v>128</v>
      </c>
      <c r="I649" s="69" t="s">
        <v>129</v>
      </c>
      <c r="J649" s="72">
        <v>65</v>
      </c>
    </row>
    <row r="650" spans="1:10" ht="15" customHeight="1">
      <c r="A650" s="70">
        <v>44006</v>
      </c>
      <c r="B650" s="69" t="s">
        <v>740</v>
      </c>
      <c r="C650" s="69" t="s">
        <v>116</v>
      </c>
      <c r="D650" s="71">
        <v>13</v>
      </c>
      <c r="E650" s="69" t="s">
        <v>104</v>
      </c>
      <c r="F650" s="69" t="s">
        <v>105</v>
      </c>
      <c r="G650" s="69" t="s">
        <v>105</v>
      </c>
      <c r="H650" s="69" t="s">
        <v>128</v>
      </c>
      <c r="I650" s="69" t="s">
        <v>129</v>
      </c>
      <c r="J650" s="72">
        <v>400</v>
      </c>
    </row>
    <row r="651" spans="1:10" ht="15" customHeight="1">
      <c r="A651" s="70">
        <v>44006</v>
      </c>
      <c r="B651" s="69" t="s">
        <v>741</v>
      </c>
      <c r="C651" s="69" t="s">
        <v>116</v>
      </c>
      <c r="D651" s="71">
        <v>23</v>
      </c>
      <c r="E651" s="69" t="s">
        <v>104</v>
      </c>
      <c r="F651" s="69" t="s">
        <v>120</v>
      </c>
      <c r="G651" s="69" t="s">
        <v>123</v>
      </c>
      <c r="H651" s="69" t="s">
        <v>128</v>
      </c>
      <c r="I651" s="69" t="s">
        <v>111</v>
      </c>
      <c r="J651" s="72">
        <v>90</v>
      </c>
    </row>
    <row r="652" spans="1:10" ht="15" customHeight="1">
      <c r="A652" s="70">
        <v>44007</v>
      </c>
      <c r="B652" s="69" t="s">
        <v>742</v>
      </c>
      <c r="C652" s="69" t="s">
        <v>103</v>
      </c>
      <c r="D652" s="71">
        <v>52</v>
      </c>
      <c r="E652" s="69" t="s">
        <v>113</v>
      </c>
      <c r="F652" s="69" t="s">
        <v>105</v>
      </c>
      <c r="G652" s="69" t="s">
        <v>105</v>
      </c>
      <c r="H652" s="69" t="s">
        <v>106</v>
      </c>
      <c r="I652" s="69" t="s">
        <v>107</v>
      </c>
      <c r="J652" s="72">
        <v>400</v>
      </c>
    </row>
    <row r="653" spans="1:10" ht="15" customHeight="1">
      <c r="A653" s="70">
        <v>44007</v>
      </c>
      <c r="B653" s="69" t="s">
        <v>743</v>
      </c>
      <c r="C653" s="69" t="s">
        <v>116</v>
      </c>
      <c r="D653" s="71">
        <v>75</v>
      </c>
      <c r="E653" s="69" t="s">
        <v>104</v>
      </c>
      <c r="F653" s="69" t="s">
        <v>105</v>
      </c>
      <c r="G653" s="69" t="s">
        <v>105</v>
      </c>
      <c r="H653" s="69" t="s">
        <v>131</v>
      </c>
      <c r="I653" s="69" t="s">
        <v>111</v>
      </c>
      <c r="J653" s="72">
        <v>400</v>
      </c>
    </row>
    <row r="654" spans="1:10" ht="15" customHeight="1">
      <c r="A654" s="70">
        <v>44007</v>
      </c>
      <c r="B654" s="69" t="s">
        <v>744</v>
      </c>
      <c r="C654" s="69" t="s">
        <v>103</v>
      </c>
      <c r="D654" s="71">
        <v>45</v>
      </c>
      <c r="E654" s="69" t="s">
        <v>139</v>
      </c>
      <c r="F654" s="69" t="s">
        <v>105</v>
      </c>
      <c r="G654" s="69" t="s">
        <v>105</v>
      </c>
      <c r="H654" s="69" t="s">
        <v>128</v>
      </c>
      <c r="I654" s="69" t="s">
        <v>159</v>
      </c>
      <c r="J654" s="72">
        <v>400</v>
      </c>
    </row>
    <row r="655" spans="1:10" ht="15" customHeight="1">
      <c r="A655" s="70">
        <v>44008</v>
      </c>
      <c r="B655" s="69" t="s">
        <v>745</v>
      </c>
      <c r="C655" s="69" t="s">
        <v>103</v>
      </c>
      <c r="D655" s="71">
        <v>59</v>
      </c>
      <c r="E655" s="69" t="s">
        <v>113</v>
      </c>
      <c r="F655" s="69" t="s">
        <v>105</v>
      </c>
      <c r="G655" s="69" t="s">
        <v>105</v>
      </c>
      <c r="H655" s="69" t="s">
        <v>117</v>
      </c>
      <c r="I655" s="69" t="s">
        <v>118</v>
      </c>
      <c r="J655" s="72">
        <v>400</v>
      </c>
    </row>
    <row r="656" spans="1:10" ht="15" customHeight="1">
      <c r="A656" s="70">
        <v>44008</v>
      </c>
      <c r="B656" s="69" t="s">
        <v>365</v>
      </c>
      <c r="C656" s="69" t="s">
        <v>103</v>
      </c>
      <c r="D656" s="71">
        <v>2</v>
      </c>
      <c r="E656" s="69" t="s">
        <v>113</v>
      </c>
      <c r="F656" s="69" t="s">
        <v>120</v>
      </c>
      <c r="G656" s="69" t="s">
        <v>142</v>
      </c>
      <c r="H656" s="69" t="s">
        <v>137</v>
      </c>
      <c r="I656" s="69" t="s">
        <v>111</v>
      </c>
      <c r="J656" s="72">
        <v>52</v>
      </c>
    </row>
    <row r="657" spans="1:10" ht="15" customHeight="1">
      <c r="A657" s="70">
        <v>44008</v>
      </c>
      <c r="B657" s="69" t="s">
        <v>746</v>
      </c>
      <c r="C657" s="69" t="s">
        <v>116</v>
      </c>
      <c r="D657" s="71">
        <v>58</v>
      </c>
      <c r="E657" s="69" t="s">
        <v>113</v>
      </c>
      <c r="F657" s="69" t="s">
        <v>120</v>
      </c>
      <c r="G657" s="69" t="s">
        <v>125</v>
      </c>
      <c r="H657" s="69" t="s">
        <v>110</v>
      </c>
      <c r="I657" s="69" t="s">
        <v>107</v>
      </c>
      <c r="J657" s="72">
        <v>65</v>
      </c>
    </row>
    <row r="658" spans="1:10" ht="15" customHeight="1">
      <c r="A658" s="70">
        <v>44008</v>
      </c>
      <c r="B658" s="69" t="s">
        <v>747</v>
      </c>
      <c r="C658" s="69" t="s">
        <v>116</v>
      </c>
      <c r="D658" s="71">
        <v>64</v>
      </c>
      <c r="E658" s="69" t="s">
        <v>109</v>
      </c>
      <c r="F658" s="69" t="s">
        <v>105</v>
      </c>
      <c r="G658" s="69" t="s">
        <v>105</v>
      </c>
      <c r="H658" s="69" t="s">
        <v>145</v>
      </c>
      <c r="I658" s="69" t="s">
        <v>107</v>
      </c>
      <c r="J658" s="72">
        <v>400</v>
      </c>
    </row>
    <row r="659" spans="1:10" ht="15" customHeight="1">
      <c r="A659" s="70">
        <v>44008</v>
      </c>
      <c r="B659" s="69" t="s">
        <v>748</v>
      </c>
      <c r="C659" s="69" t="s">
        <v>103</v>
      </c>
      <c r="D659" s="71">
        <v>34</v>
      </c>
      <c r="E659" s="69" t="s">
        <v>113</v>
      </c>
      <c r="F659" s="69" t="s">
        <v>105</v>
      </c>
      <c r="G659" s="69" t="s">
        <v>105</v>
      </c>
      <c r="H659" s="69" t="s">
        <v>131</v>
      </c>
      <c r="I659" s="69" t="s">
        <v>107</v>
      </c>
      <c r="J659" s="72">
        <v>400</v>
      </c>
    </row>
    <row r="660" spans="1:10" ht="15" customHeight="1">
      <c r="A660" s="70">
        <v>44008</v>
      </c>
      <c r="B660" s="69" t="s">
        <v>749</v>
      </c>
      <c r="C660" s="69" t="s">
        <v>103</v>
      </c>
      <c r="D660" s="71">
        <v>7</v>
      </c>
      <c r="E660" s="69" t="s">
        <v>109</v>
      </c>
      <c r="F660" s="69" t="s">
        <v>120</v>
      </c>
      <c r="G660" s="69" t="s">
        <v>123</v>
      </c>
      <c r="H660" s="69" t="s">
        <v>131</v>
      </c>
      <c r="I660" s="69" t="s">
        <v>118</v>
      </c>
      <c r="J660" s="72">
        <v>90</v>
      </c>
    </row>
    <row r="661" spans="1:10" ht="15" customHeight="1">
      <c r="A661" s="70">
        <v>44009</v>
      </c>
      <c r="B661" s="69" t="s">
        <v>632</v>
      </c>
      <c r="C661" s="69" t="s">
        <v>116</v>
      </c>
      <c r="D661" s="71">
        <v>19</v>
      </c>
      <c r="E661" s="69" t="s">
        <v>113</v>
      </c>
      <c r="F661" s="69" t="s">
        <v>105</v>
      </c>
      <c r="G661" s="69" t="s">
        <v>105</v>
      </c>
      <c r="H661" s="69" t="s">
        <v>106</v>
      </c>
      <c r="I661" s="69" t="s">
        <v>118</v>
      </c>
      <c r="J661" s="72">
        <v>400</v>
      </c>
    </row>
    <row r="662" spans="1:10" ht="15" customHeight="1">
      <c r="A662" s="70">
        <v>44009</v>
      </c>
      <c r="B662" s="69" t="s">
        <v>750</v>
      </c>
      <c r="C662" s="69" t="s">
        <v>116</v>
      </c>
      <c r="D662" s="71">
        <v>23</v>
      </c>
      <c r="E662" s="69" t="s">
        <v>113</v>
      </c>
      <c r="F662" s="69" t="s">
        <v>105</v>
      </c>
      <c r="G662" s="69" t="s">
        <v>105</v>
      </c>
      <c r="H662" s="69" t="s">
        <v>117</v>
      </c>
      <c r="I662" s="69" t="s">
        <v>114</v>
      </c>
      <c r="J662" s="72">
        <v>400</v>
      </c>
    </row>
    <row r="663" spans="1:10" ht="15" customHeight="1">
      <c r="A663" s="70">
        <v>44009</v>
      </c>
      <c r="B663" s="69" t="s">
        <v>326</v>
      </c>
      <c r="C663" s="69" t="s">
        <v>103</v>
      </c>
      <c r="D663" s="71">
        <v>38</v>
      </c>
      <c r="E663" s="69" t="s">
        <v>113</v>
      </c>
      <c r="F663" s="69" t="s">
        <v>105</v>
      </c>
      <c r="G663" s="69" t="s">
        <v>105</v>
      </c>
      <c r="H663" s="69" t="s">
        <v>117</v>
      </c>
      <c r="I663" s="69" t="s">
        <v>107</v>
      </c>
      <c r="J663" s="72">
        <v>400</v>
      </c>
    </row>
    <row r="664" spans="1:10" ht="15" customHeight="1">
      <c r="A664" s="70">
        <v>44009</v>
      </c>
      <c r="B664" s="69" t="s">
        <v>751</v>
      </c>
      <c r="C664" s="69" t="s">
        <v>116</v>
      </c>
      <c r="D664" s="71">
        <v>37</v>
      </c>
      <c r="E664" s="69" t="s">
        <v>109</v>
      </c>
      <c r="F664" s="69" t="s">
        <v>120</v>
      </c>
      <c r="G664" s="69" t="s">
        <v>142</v>
      </c>
      <c r="H664" s="69" t="s">
        <v>131</v>
      </c>
      <c r="I664" s="69" t="s">
        <v>107</v>
      </c>
      <c r="J664" s="72">
        <v>52</v>
      </c>
    </row>
    <row r="665" spans="1:10" ht="15" customHeight="1">
      <c r="A665" s="70">
        <v>44010</v>
      </c>
      <c r="B665" s="69" t="s">
        <v>752</v>
      </c>
      <c r="C665" s="69" t="s">
        <v>103</v>
      </c>
      <c r="D665" s="71">
        <v>58</v>
      </c>
      <c r="E665" s="69" t="s">
        <v>113</v>
      </c>
      <c r="F665" s="69" t="s">
        <v>105</v>
      </c>
      <c r="G665" s="69" t="s">
        <v>105</v>
      </c>
      <c r="H665" s="69" t="s">
        <v>117</v>
      </c>
      <c r="I665" s="69" t="s">
        <v>114</v>
      </c>
      <c r="J665" s="72">
        <v>400</v>
      </c>
    </row>
    <row r="666" spans="1:10" ht="15" customHeight="1">
      <c r="A666" s="70">
        <v>44010</v>
      </c>
      <c r="B666" s="69" t="s">
        <v>753</v>
      </c>
      <c r="C666" s="69" t="s">
        <v>103</v>
      </c>
      <c r="D666" s="71">
        <v>54</v>
      </c>
      <c r="E666" s="69" t="s">
        <v>139</v>
      </c>
      <c r="F666" s="69" t="s">
        <v>105</v>
      </c>
      <c r="G666" s="69" t="s">
        <v>105</v>
      </c>
      <c r="H666" s="69" t="s">
        <v>128</v>
      </c>
      <c r="I666" s="69" t="s">
        <v>114</v>
      </c>
      <c r="J666" s="72">
        <v>400</v>
      </c>
    </row>
    <row r="667" spans="1:10" ht="15" customHeight="1">
      <c r="A667" s="70">
        <v>44010</v>
      </c>
      <c r="B667" s="69" t="s">
        <v>754</v>
      </c>
      <c r="C667" s="69" t="s">
        <v>103</v>
      </c>
      <c r="D667" s="71">
        <v>27</v>
      </c>
      <c r="E667" s="69" t="s">
        <v>109</v>
      </c>
      <c r="F667" s="69" t="s">
        <v>105</v>
      </c>
      <c r="G667" s="69" t="s">
        <v>105</v>
      </c>
      <c r="H667" s="69" t="s">
        <v>137</v>
      </c>
      <c r="I667" s="69" t="s">
        <v>114</v>
      </c>
      <c r="J667" s="72">
        <v>400</v>
      </c>
    </row>
    <row r="668" spans="1:10" ht="15" customHeight="1">
      <c r="A668" s="70">
        <v>44010</v>
      </c>
      <c r="B668" s="69" t="s">
        <v>755</v>
      </c>
      <c r="C668" s="69" t="s">
        <v>116</v>
      </c>
      <c r="D668" s="71">
        <v>22</v>
      </c>
      <c r="E668" s="69" t="s">
        <v>109</v>
      </c>
      <c r="F668" s="69" t="s">
        <v>120</v>
      </c>
      <c r="G668" s="69" t="s">
        <v>123</v>
      </c>
      <c r="H668" s="69" t="s">
        <v>131</v>
      </c>
      <c r="I668" s="69" t="s">
        <v>114</v>
      </c>
      <c r="J668" s="72">
        <v>90</v>
      </c>
    </row>
    <row r="669" spans="1:10" ht="15" customHeight="1">
      <c r="A669" s="70">
        <v>44010</v>
      </c>
      <c r="B669" s="69" t="s">
        <v>756</v>
      </c>
      <c r="C669" s="69" t="s">
        <v>103</v>
      </c>
      <c r="D669" s="71">
        <v>63</v>
      </c>
      <c r="E669" s="69" t="s">
        <v>104</v>
      </c>
      <c r="F669" s="69" t="s">
        <v>105</v>
      </c>
      <c r="G669" s="69" t="s">
        <v>105</v>
      </c>
      <c r="H669" s="69" t="s">
        <v>145</v>
      </c>
      <c r="I669" s="69" t="s">
        <v>114</v>
      </c>
      <c r="J669" s="72">
        <v>400</v>
      </c>
    </row>
    <row r="670" spans="1:10" ht="15" customHeight="1">
      <c r="A670" s="70">
        <v>44010</v>
      </c>
      <c r="B670" s="69" t="s">
        <v>213</v>
      </c>
      <c r="C670" s="69" t="s">
        <v>103</v>
      </c>
      <c r="D670" s="71">
        <v>39</v>
      </c>
      <c r="E670" s="69" t="s">
        <v>104</v>
      </c>
      <c r="F670" s="69" t="s">
        <v>105</v>
      </c>
      <c r="G670" s="69" t="s">
        <v>105</v>
      </c>
      <c r="H670" s="69" t="s">
        <v>137</v>
      </c>
      <c r="I670" s="69" t="s">
        <v>114</v>
      </c>
      <c r="J670" s="72">
        <v>400</v>
      </c>
    </row>
    <row r="671" spans="1:10" ht="15" customHeight="1">
      <c r="A671" s="70">
        <v>44010</v>
      </c>
      <c r="B671" s="69" t="s">
        <v>757</v>
      </c>
      <c r="C671" s="69" t="s">
        <v>103</v>
      </c>
      <c r="D671" s="71">
        <v>70</v>
      </c>
      <c r="E671" s="69" t="s">
        <v>104</v>
      </c>
      <c r="F671" s="69" t="s">
        <v>105</v>
      </c>
      <c r="G671" s="69" t="s">
        <v>105</v>
      </c>
      <c r="H671" s="69" t="s">
        <v>106</v>
      </c>
      <c r="I671" s="69" t="s">
        <v>118</v>
      </c>
      <c r="J671" s="72">
        <v>400</v>
      </c>
    </row>
    <row r="672" spans="1:10" ht="15" customHeight="1">
      <c r="A672" s="70">
        <v>44011</v>
      </c>
      <c r="B672" s="69" t="s">
        <v>454</v>
      </c>
      <c r="C672" s="69" t="s">
        <v>103</v>
      </c>
      <c r="D672" s="71">
        <v>27</v>
      </c>
      <c r="E672" s="69" t="s">
        <v>139</v>
      </c>
      <c r="F672" s="69" t="s">
        <v>105</v>
      </c>
      <c r="G672" s="69" t="s">
        <v>105</v>
      </c>
      <c r="H672" s="69" t="s">
        <v>117</v>
      </c>
      <c r="I672" s="69" t="s">
        <v>111</v>
      </c>
      <c r="J672" s="72">
        <v>400</v>
      </c>
    </row>
    <row r="673" spans="1:10" ht="15" customHeight="1">
      <c r="A673" s="70">
        <v>44011</v>
      </c>
      <c r="B673" s="69" t="s">
        <v>758</v>
      </c>
      <c r="C673" s="69" t="s">
        <v>116</v>
      </c>
      <c r="D673" s="71">
        <v>6</v>
      </c>
      <c r="E673" s="69" t="s">
        <v>104</v>
      </c>
      <c r="F673" s="69" t="s">
        <v>105</v>
      </c>
      <c r="G673" s="69" t="s">
        <v>105</v>
      </c>
      <c r="H673" s="69" t="s">
        <v>131</v>
      </c>
      <c r="I673" s="69" t="s">
        <v>118</v>
      </c>
      <c r="J673" s="72">
        <v>400</v>
      </c>
    </row>
    <row r="674" spans="1:10" ht="15" customHeight="1">
      <c r="A674" s="70">
        <v>44011</v>
      </c>
      <c r="B674" s="69" t="s">
        <v>759</v>
      </c>
      <c r="C674" s="69" t="s">
        <v>116</v>
      </c>
      <c r="D674" s="71">
        <v>8</v>
      </c>
      <c r="E674" s="69" t="s">
        <v>109</v>
      </c>
      <c r="F674" s="69" t="s">
        <v>105</v>
      </c>
      <c r="G674" s="69" t="s">
        <v>105</v>
      </c>
      <c r="H674" s="69" t="s">
        <v>106</v>
      </c>
      <c r="I674" s="69" t="s">
        <v>159</v>
      </c>
      <c r="J674" s="72">
        <v>400</v>
      </c>
    </row>
    <row r="675" spans="1:10" ht="15" customHeight="1">
      <c r="A675" s="70">
        <v>44012</v>
      </c>
      <c r="B675" s="69" t="s">
        <v>760</v>
      </c>
      <c r="C675" s="69" t="s">
        <v>103</v>
      </c>
      <c r="D675" s="71">
        <v>22</v>
      </c>
      <c r="E675" s="69" t="s">
        <v>113</v>
      </c>
      <c r="F675" s="69" t="s">
        <v>105</v>
      </c>
      <c r="G675" s="69" t="s">
        <v>105</v>
      </c>
      <c r="H675" s="69" t="s">
        <v>106</v>
      </c>
      <c r="I675" s="69" t="s">
        <v>114</v>
      </c>
      <c r="J675" s="72">
        <v>400</v>
      </c>
    </row>
    <row r="676" spans="1:10" ht="15" customHeight="1">
      <c r="A676" s="70">
        <v>44012</v>
      </c>
      <c r="B676" s="69" t="s">
        <v>753</v>
      </c>
      <c r="C676" s="69" t="s">
        <v>103</v>
      </c>
      <c r="D676" s="71">
        <v>68</v>
      </c>
      <c r="E676" s="69" t="s">
        <v>104</v>
      </c>
      <c r="F676" s="69" t="s">
        <v>120</v>
      </c>
      <c r="G676" s="69" t="s">
        <v>125</v>
      </c>
      <c r="H676" s="69" t="s">
        <v>106</v>
      </c>
      <c r="I676" s="69" t="s">
        <v>118</v>
      </c>
      <c r="J676" s="72">
        <v>65</v>
      </c>
    </row>
    <row r="677" spans="1:10" ht="15" customHeight="1">
      <c r="A677" s="70">
        <v>44012</v>
      </c>
      <c r="B677" s="69" t="s">
        <v>761</v>
      </c>
      <c r="C677" s="69" t="s">
        <v>103</v>
      </c>
      <c r="D677" s="71">
        <v>36</v>
      </c>
      <c r="E677" s="69" t="s">
        <v>113</v>
      </c>
      <c r="F677" s="69" t="s">
        <v>105</v>
      </c>
      <c r="G677" s="69" t="s">
        <v>105</v>
      </c>
      <c r="H677" s="69" t="s">
        <v>145</v>
      </c>
      <c r="I677" s="69" t="s">
        <v>114</v>
      </c>
      <c r="J677" s="72">
        <v>400</v>
      </c>
    </row>
    <row r="678" spans="1:10" ht="15" customHeight="1">
      <c r="A678" s="70">
        <v>44012</v>
      </c>
      <c r="B678" s="69" t="s">
        <v>762</v>
      </c>
      <c r="C678" s="69" t="s">
        <v>103</v>
      </c>
      <c r="D678" s="71">
        <v>53</v>
      </c>
      <c r="E678" s="69" t="s">
        <v>113</v>
      </c>
      <c r="F678" s="69" t="s">
        <v>120</v>
      </c>
      <c r="G678" s="69" t="s">
        <v>121</v>
      </c>
      <c r="H678" s="69" t="s">
        <v>110</v>
      </c>
      <c r="I678" s="69" t="s">
        <v>111</v>
      </c>
      <c r="J678" s="72">
        <v>78</v>
      </c>
    </row>
    <row r="679" spans="1:10" ht="15" customHeight="1">
      <c r="A679" s="70">
        <v>44012</v>
      </c>
      <c r="B679" s="69" t="s">
        <v>763</v>
      </c>
      <c r="C679" s="69" t="s">
        <v>103</v>
      </c>
      <c r="D679" s="71">
        <v>13</v>
      </c>
      <c r="E679" s="69" t="s">
        <v>113</v>
      </c>
      <c r="F679" s="69" t="s">
        <v>120</v>
      </c>
      <c r="G679" s="69" t="s">
        <v>121</v>
      </c>
      <c r="H679" s="69" t="s">
        <v>145</v>
      </c>
      <c r="I679" s="69" t="s">
        <v>111</v>
      </c>
      <c r="J679" s="72">
        <v>78</v>
      </c>
    </row>
    <row r="680" spans="1:10" ht="15" customHeight="1">
      <c r="A680" s="70">
        <v>44012</v>
      </c>
      <c r="B680" s="69" t="s">
        <v>703</v>
      </c>
      <c r="C680" s="69" t="s">
        <v>103</v>
      </c>
      <c r="D680" s="71">
        <v>14</v>
      </c>
      <c r="E680" s="69" t="s">
        <v>113</v>
      </c>
      <c r="F680" s="69" t="s">
        <v>105</v>
      </c>
      <c r="G680" s="69" t="s">
        <v>105</v>
      </c>
      <c r="H680" s="69" t="s">
        <v>131</v>
      </c>
      <c r="I680" s="69" t="s">
        <v>114</v>
      </c>
      <c r="J680" s="72">
        <v>400</v>
      </c>
    </row>
    <row r="681" spans="1:10" ht="15" customHeight="1">
      <c r="A681" s="70">
        <v>44012</v>
      </c>
      <c r="B681" s="69" t="s">
        <v>764</v>
      </c>
      <c r="C681" s="69" t="s">
        <v>103</v>
      </c>
      <c r="D681" s="71">
        <v>75</v>
      </c>
      <c r="E681" s="69" t="s">
        <v>139</v>
      </c>
      <c r="F681" s="69" t="s">
        <v>105</v>
      </c>
      <c r="G681" s="69" t="s">
        <v>105</v>
      </c>
      <c r="H681" s="69" t="s">
        <v>128</v>
      </c>
      <c r="I681" s="69" t="s">
        <v>111</v>
      </c>
      <c r="J681" s="72">
        <v>400</v>
      </c>
    </row>
    <row r="682" spans="1:10" ht="15" customHeight="1">
      <c r="A682" s="70">
        <v>44013</v>
      </c>
      <c r="B682" s="69" t="s">
        <v>765</v>
      </c>
      <c r="C682" s="69" t="s">
        <v>116</v>
      </c>
      <c r="D682" s="71">
        <v>75</v>
      </c>
      <c r="E682" s="69" t="s">
        <v>113</v>
      </c>
      <c r="F682" s="69" t="s">
        <v>105</v>
      </c>
      <c r="G682" s="69" t="s">
        <v>105</v>
      </c>
      <c r="H682" s="69" t="s">
        <v>131</v>
      </c>
      <c r="I682" s="69" t="s">
        <v>118</v>
      </c>
      <c r="J682" s="72">
        <v>400</v>
      </c>
    </row>
    <row r="683" spans="1:10" ht="15" customHeight="1">
      <c r="A683" s="70">
        <v>44014</v>
      </c>
      <c r="B683" s="69" t="s">
        <v>766</v>
      </c>
      <c r="C683" s="69" t="s">
        <v>116</v>
      </c>
      <c r="D683" s="71">
        <v>67</v>
      </c>
      <c r="E683" s="69" t="s">
        <v>113</v>
      </c>
      <c r="F683" s="69" t="s">
        <v>105</v>
      </c>
      <c r="G683" s="69" t="s">
        <v>105</v>
      </c>
      <c r="H683" s="69" t="s">
        <v>131</v>
      </c>
      <c r="I683" s="69" t="s">
        <v>111</v>
      </c>
      <c r="J683" s="72">
        <v>400</v>
      </c>
    </row>
    <row r="684" spans="1:10" ht="15" customHeight="1">
      <c r="A684" s="70">
        <v>44014</v>
      </c>
      <c r="B684" s="69" t="s">
        <v>767</v>
      </c>
      <c r="C684" s="69" t="s">
        <v>103</v>
      </c>
      <c r="D684" s="71">
        <v>59</v>
      </c>
      <c r="E684" s="69" t="s">
        <v>104</v>
      </c>
      <c r="F684" s="69" t="s">
        <v>105</v>
      </c>
      <c r="G684" s="69" t="s">
        <v>105</v>
      </c>
      <c r="H684" s="69" t="s">
        <v>137</v>
      </c>
      <c r="I684" s="69" t="s">
        <v>129</v>
      </c>
      <c r="J684" s="72">
        <v>400</v>
      </c>
    </row>
    <row r="685" spans="1:10" ht="15" customHeight="1">
      <c r="A685" s="70">
        <v>44014</v>
      </c>
      <c r="B685" s="69" t="s">
        <v>416</v>
      </c>
      <c r="C685" s="69" t="s">
        <v>116</v>
      </c>
      <c r="D685" s="71">
        <v>34</v>
      </c>
      <c r="E685" s="69" t="s">
        <v>113</v>
      </c>
      <c r="F685" s="69" t="s">
        <v>105</v>
      </c>
      <c r="G685" s="69" t="s">
        <v>105</v>
      </c>
      <c r="H685" s="69" t="s">
        <v>131</v>
      </c>
      <c r="I685" s="69" t="s">
        <v>107</v>
      </c>
      <c r="J685" s="72">
        <v>400</v>
      </c>
    </row>
    <row r="686" spans="1:10" ht="15" customHeight="1">
      <c r="A686" s="70">
        <v>44015</v>
      </c>
      <c r="B686" s="69" t="s">
        <v>768</v>
      </c>
      <c r="C686" s="69" t="s">
        <v>116</v>
      </c>
      <c r="D686" s="71">
        <v>68</v>
      </c>
      <c r="E686" s="69" t="s">
        <v>113</v>
      </c>
      <c r="F686" s="69" t="s">
        <v>105</v>
      </c>
      <c r="G686" s="69" t="s">
        <v>105</v>
      </c>
      <c r="H686" s="69" t="s">
        <v>137</v>
      </c>
      <c r="I686" s="69" t="s">
        <v>129</v>
      </c>
      <c r="J686" s="72">
        <v>400</v>
      </c>
    </row>
    <row r="687" spans="1:10" ht="15" customHeight="1">
      <c r="A687" s="70">
        <v>44015</v>
      </c>
      <c r="B687" s="69" t="s">
        <v>769</v>
      </c>
      <c r="C687" s="69" t="s">
        <v>116</v>
      </c>
      <c r="D687" s="71">
        <v>2</v>
      </c>
      <c r="E687" s="69" t="s">
        <v>139</v>
      </c>
      <c r="F687" s="69" t="s">
        <v>120</v>
      </c>
      <c r="G687" s="69" t="s">
        <v>121</v>
      </c>
      <c r="H687" s="69" t="s">
        <v>110</v>
      </c>
      <c r="I687" s="69" t="s">
        <v>118</v>
      </c>
      <c r="J687" s="72">
        <v>78</v>
      </c>
    </row>
    <row r="688" spans="1:10" ht="15" customHeight="1">
      <c r="A688" s="70">
        <v>44015</v>
      </c>
      <c r="B688" s="69" t="s">
        <v>770</v>
      </c>
      <c r="C688" s="69" t="s">
        <v>116</v>
      </c>
      <c r="D688" s="71">
        <v>40</v>
      </c>
      <c r="E688" s="69" t="s">
        <v>113</v>
      </c>
      <c r="F688" s="69" t="s">
        <v>120</v>
      </c>
      <c r="G688" s="69" t="s">
        <v>121</v>
      </c>
      <c r="H688" s="69" t="s">
        <v>131</v>
      </c>
      <c r="I688" s="69" t="s">
        <v>118</v>
      </c>
      <c r="J688" s="72">
        <v>78</v>
      </c>
    </row>
    <row r="689" spans="1:10" ht="15" customHeight="1">
      <c r="A689" s="70">
        <v>44015</v>
      </c>
      <c r="B689" s="69" t="s">
        <v>771</v>
      </c>
      <c r="C689" s="69" t="s">
        <v>103</v>
      </c>
      <c r="D689" s="71">
        <v>70</v>
      </c>
      <c r="E689" s="69" t="s">
        <v>113</v>
      </c>
      <c r="F689" s="69" t="s">
        <v>120</v>
      </c>
      <c r="G689" s="69" t="s">
        <v>121</v>
      </c>
      <c r="H689" s="69" t="s">
        <v>106</v>
      </c>
      <c r="I689" s="69" t="s">
        <v>118</v>
      </c>
      <c r="J689" s="72">
        <v>78</v>
      </c>
    </row>
    <row r="690" spans="1:10" ht="15" customHeight="1">
      <c r="A690" s="70">
        <v>44015</v>
      </c>
      <c r="B690" s="69" t="s">
        <v>772</v>
      </c>
      <c r="C690" s="69" t="s">
        <v>103</v>
      </c>
      <c r="D690" s="71">
        <v>68</v>
      </c>
      <c r="E690" s="69" t="s">
        <v>113</v>
      </c>
      <c r="F690" s="69" t="s">
        <v>105</v>
      </c>
      <c r="G690" s="69" t="s">
        <v>105</v>
      </c>
      <c r="H690" s="69" t="s">
        <v>106</v>
      </c>
      <c r="I690" s="69" t="s">
        <v>111</v>
      </c>
      <c r="J690" s="72">
        <v>400</v>
      </c>
    </row>
    <row r="691" spans="1:10" ht="15" customHeight="1">
      <c r="A691" s="70">
        <v>44015</v>
      </c>
      <c r="B691" s="69" t="s">
        <v>773</v>
      </c>
      <c r="C691" s="69" t="s">
        <v>116</v>
      </c>
      <c r="D691" s="71">
        <v>22</v>
      </c>
      <c r="E691" s="69" t="s">
        <v>113</v>
      </c>
      <c r="F691" s="69" t="s">
        <v>105</v>
      </c>
      <c r="G691" s="69" t="s">
        <v>105</v>
      </c>
      <c r="H691" s="69" t="s">
        <v>128</v>
      </c>
      <c r="I691" s="69" t="s">
        <v>107</v>
      </c>
      <c r="J691" s="72">
        <v>400</v>
      </c>
    </row>
    <row r="692" spans="1:10" ht="15" customHeight="1">
      <c r="A692" s="70">
        <v>44016</v>
      </c>
      <c r="B692" s="69" t="s">
        <v>774</v>
      </c>
      <c r="C692" s="69" t="s">
        <v>103</v>
      </c>
      <c r="D692" s="71">
        <v>66</v>
      </c>
      <c r="E692" s="69" t="s">
        <v>113</v>
      </c>
      <c r="F692" s="69" t="s">
        <v>120</v>
      </c>
      <c r="G692" s="69" t="s">
        <v>121</v>
      </c>
      <c r="H692" s="69" t="s">
        <v>131</v>
      </c>
      <c r="I692" s="69" t="s">
        <v>114</v>
      </c>
      <c r="J692" s="72">
        <v>78</v>
      </c>
    </row>
    <row r="693" spans="1:10" ht="15" customHeight="1">
      <c r="A693" s="70">
        <v>44016</v>
      </c>
      <c r="B693" s="69" t="s">
        <v>756</v>
      </c>
      <c r="C693" s="69" t="s">
        <v>103</v>
      </c>
      <c r="D693" s="71">
        <v>37</v>
      </c>
      <c r="E693" s="69" t="s">
        <v>139</v>
      </c>
      <c r="F693" s="69" t="s">
        <v>120</v>
      </c>
      <c r="G693" s="69" t="s">
        <v>121</v>
      </c>
      <c r="H693" s="69" t="s">
        <v>137</v>
      </c>
      <c r="I693" s="69" t="s">
        <v>114</v>
      </c>
      <c r="J693" s="72">
        <v>78</v>
      </c>
    </row>
    <row r="694" spans="1:10" ht="15" customHeight="1">
      <c r="A694" s="70">
        <v>44016</v>
      </c>
      <c r="B694" s="69" t="s">
        <v>775</v>
      </c>
      <c r="C694" s="69" t="s">
        <v>103</v>
      </c>
      <c r="D694" s="71">
        <v>48</v>
      </c>
      <c r="E694" s="69" t="s">
        <v>139</v>
      </c>
      <c r="F694" s="69" t="s">
        <v>120</v>
      </c>
      <c r="G694" s="69" t="s">
        <v>142</v>
      </c>
      <c r="H694" s="69" t="s">
        <v>145</v>
      </c>
      <c r="I694" s="69" t="s">
        <v>118</v>
      </c>
      <c r="J694" s="72">
        <v>52</v>
      </c>
    </row>
    <row r="695" spans="1:10" ht="15" customHeight="1">
      <c r="A695" s="70">
        <v>44016</v>
      </c>
      <c r="B695" s="69" t="s">
        <v>776</v>
      </c>
      <c r="C695" s="69" t="s">
        <v>116</v>
      </c>
      <c r="D695" s="71">
        <v>52</v>
      </c>
      <c r="E695" s="69" t="s">
        <v>139</v>
      </c>
      <c r="F695" s="69" t="s">
        <v>105</v>
      </c>
      <c r="G695" s="69" t="s">
        <v>105</v>
      </c>
      <c r="H695" s="69" t="s">
        <v>131</v>
      </c>
      <c r="I695" s="69" t="s">
        <v>111</v>
      </c>
      <c r="J695" s="72">
        <v>400</v>
      </c>
    </row>
    <row r="696" spans="1:10" ht="15" customHeight="1">
      <c r="A696" s="70">
        <v>44017</v>
      </c>
      <c r="B696" s="69" t="s">
        <v>777</v>
      </c>
      <c r="C696" s="69" t="s">
        <v>116</v>
      </c>
      <c r="D696" s="71">
        <v>36</v>
      </c>
      <c r="E696" s="69" t="s">
        <v>139</v>
      </c>
      <c r="F696" s="69" t="s">
        <v>105</v>
      </c>
      <c r="G696" s="69" t="s">
        <v>105</v>
      </c>
      <c r="H696" s="69" t="s">
        <v>128</v>
      </c>
      <c r="I696" s="69" t="s">
        <v>118</v>
      </c>
      <c r="J696" s="72">
        <v>400</v>
      </c>
    </row>
    <row r="697" spans="1:10" ht="15" customHeight="1">
      <c r="A697" s="70">
        <v>44017</v>
      </c>
      <c r="B697" s="69" t="s">
        <v>466</v>
      </c>
      <c r="C697" s="69" t="s">
        <v>116</v>
      </c>
      <c r="D697" s="71">
        <v>44</v>
      </c>
      <c r="E697" s="69" t="s">
        <v>104</v>
      </c>
      <c r="F697" s="69" t="s">
        <v>120</v>
      </c>
      <c r="G697" s="69" t="s">
        <v>121</v>
      </c>
      <c r="H697" s="69" t="s">
        <v>110</v>
      </c>
      <c r="I697" s="69" t="s">
        <v>114</v>
      </c>
      <c r="J697" s="72">
        <v>78</v>
      </c>
    </row>
    <row r="698" spans="1:10" ht="15" customHeight="1">
      <c r="A698" s="70">
        <v>44017</v>
      </c>
      <c r="B698" s="69" t="s">
        <v>386</v>
      </c>
      <c r="C698" s="69" t="s">
        <v>116</v>
      </c>
      <c r="D698" s="71">
        <v>23</v>
      </c>
      <c r="E698" s="69" t="s">
        <v>109</v>
      </c>
      <c r="F698" s="69" t="s">
        <v>105</v>
      </c>
      <c r="G698" s="69" t="s">
        <v>105</v>
      </c>
      <c r="H698" s="69" t="s">
        <v>106</v>
      </c>
      <c r="I698" s="69" t="s">
        <v>107</v>
      </c>
      <c r="J698" s="72">
        <v>400</v>
      </c>
    </row>
    <row r="699" spans="1:10" ht="15" customHeight="1">
      <c r="A699" s="70">
        <v>44017</v>
      </c>
      <c r="B699" s="69" t="s">
        <v>778</v>
      </c>
      <c r="C699" s="69" t="s">
        <v>116</v>
      </c>
      <c r="D699" s="71">
        <v>55</v>
      </c>
      <c r="E699" s="69" t="s">
        <v>113</v>
      </c>
      <c r="F699" s="69" t="s">
        <v>120</v>
      </c>
      <c r="G699" s="69" t="s">
        <v>142</v>
      </c>
      <c r="H699" s="69" t="s">
        <v>145</v>
      </c>
      <c r="I699" s="69" t="s">
        <v>118</v>
      </c>
      <c r="J699" s="72">
        <v>52</v>
      </c>
    </row>
    <row r="700" spans="1:10" ht="15" customHeight="1">
      <c r="A700" s="70">
        <v>44018</v>
      </c>
      <c r="B700" s="69" t="s">
        <v>779</v>
      </c>
      <c r="C700" s="69" t="s">
        <v>103</v>
      </c>
      <c r="D700" s="71">
        <v>67</v>
      </c>
      <c r="E700" s="69" t="s">
        <v>104</v>
      </c>
      <c r="F700" s="69" t="s">
        <v>105</v>
      </c>
      <c r="G700" s="69" t="s">
        <v>105</v>
      </c>
      <c r="H700" s="69" t="s">
        <v>106</v>
      </c>
      <c r="I700" s="69" t="s">
        <v>118</v>
      </c>
      <c r="J700" s="72">
        <v>400</v>
      </c>
    </row>
    <row r="701" spans="1:10" ht="15" customHeight="1">
      <c r="A701" s="70">
        <v>44018</v>
      </c>
      <c r="B701" s="69" t="s">
        <v>780</v>
      </c>
      <c r="C701" s="69" t="s">
        <v>116</v>
      </c>
      <c r="D701" s="71">
        <v>37</v>
      </c>
      <c r="E701" s="69" t="s">
        <v>139</v>
      </c>
      <c r="F701" s="69" t="s">
        <v>105</v>
      </c>
      <c r="G701" s="69" t="s">
        <v>105</v>
      </c>
      <c r="H701" s="69" t="s">
        <v>106</v>
      </c>
      <c r="I701" s="69" t="s">
        <v>114</v>
      </c>
      <c r="J701" s="72">
        <v>400</v>
      </c>
    </row>
    <row r="702" spans="1:10" ht="15" customHeight="1">
      <c r="A702" s="70">
        <v>44018</v>
      </c>
      <c r="B702" s="69" t="s">
        <v>781</v>
      </c>
      <c r="C702" s="69" t="s">
        <v>103</v>
      </c>
      <c r="D702" s="71">
        <v>38</v>
      </c>
      <c r="E702" s="69" t="s">
        <v>113</v>
      </c>
      <c r="F702" s="69" t="s">
        <v>120</v>
      </c>
      <c r="G702" s="69" t="s">
        <v>125</v>
      </c>
      <c r="H702" s="69" t="s">
        <v>117</v>
      </c>
      <c r="I702" s="69" t="s">
        <v>114</v>
      </c>
      <c r="J702" s="72">
        <v>65</v>
      </c>
    </row>
    <row r="703" spans="1:10" ht="15" customHeight="1">
      <c r="A703" s="70">
        <v>44018</v>
      </c>
      <c r="B703" s="69" t="s">
        <v>782</v>
      </c>
      <c r="C703" s="69" t="s">
        <v>116</v>
      </c>
      <c r="D703" s="71">
        <v>17</v>
      </c>
      <c r="E703" s="69" t="s">
        <v>113</v>
      </c>
      <c r="F703" s="69" t="s">
        <v>120</v>
      </c>
      <c r="G703" s="69" t="s">
        <v>121</v>
      </c>
      <c r="H703" s="69" t="s">
        <v>110</v>
      </c>
      <c r="I703" s="69" t="s">
        <v>118</v>
      </c>
      <c r="J703" s="72">
        <v>78</v>
      </c>
    </row>
    <row r="704" spans="1:10" ht="15" customHeight="1">
      <c r="A704" s="70">
        <v>44019</v>
      </c>
      <c r="B704" s="69" t="s">
        <v>783</v>
      </c>
      <c r="C704" s="69" t="s">
        <v>103</v>
      </c>
      <c r="D704" s="71">
        <v>58</v>
      </c>
      <c r="E704" s="69" t="s">
        <v>104</v>
      </c>
      <c r="F704" s="69" t="s">
        <v>105</v>
      </c>
      <c r="G704" s="69" t="s">
        <v>105</v>
      </c>
      <c r="H704" s="69" t="s">
        <v>106</v>
      </c>
      <c r="I704" s="69" t="s">
        <v>111</v>
      </c>
      <c r="J704" s="72">
        <v>400</v>
      </c>
    </row>
    <row r="705" spans="1:10" ht="15" customHeight="1">
      <c r="A705" s="70">
        <v>44019</v>
      </c>
      <c r="B705" s="69" t="s">
        <v>542</v>
      </c>
      <c r="C705" s="69" t="s">
        <v>103</v>
      </c>
      <c r="D705" s="71">
        <v>20</v>
      </c>
      <c r="E705" s="69" t="s">
        <v>109</v>
      </c>
      <c r="F705" s="69" t="s">
        <v>120</v>
      </c>
      <c r="G705" s="69" t="s">
        <v>142</v>
      </c>
      <c r="H705" s="69" t="s">
        <v>106</v>
      </c>
      <c r="I705" s="69" t="s">
        <v>107</v>
      </c>
      <c r="J705" s="72">
        <v>52</v>
      </c>
    </row>
    <row r="706" spans="1:10" ht="15" customHeight="1">
      <c r="A706" s="70">
        <v>44020</v>
      </c>
      <c r="B706" s="69" t="s">
        <v>784</v>
      </c>
      <c r="C706" s="69" t="s">
        <v>103</v>
      </c>
      <c r="D706" s="71">
        <v>33</v>
      </c>
      <c r="E706" s="69" t="s">
        <v>104</v>
      </c>
      <c r="F706" s="69" t="s">
        <v>120</v>
      </c>
      <c r="G706" s="69" t="s">
        <v>121</v>
      </c>
      <c r="H706" s="69" t="s">
        <v>126</v>
      </c>
      <c r="I706" s="69" t="s">
        <v>114</v>
      </c>
      <c r="J706" s="72">
        <v>78</v>
      </c>
    </row>
    <row r="707" spans="1:10" ht="15" customHeight="1">
      <c r="A707" s="70">
        <v>44020</v>
      </c>
      <c r="B707" s="69" t="s">
        <v>785</v>
      </c>
      <c r="C707" s="69" t="s">
        <v>103</v>
      </c>
      <c r="D707" s="71">
        <v>31</v>
      </c>
      <c r="E707" s="69" t="s">
        <v>139</v>
      </c>
      <c r="F707" s="69" t="s">
        <v>105</v>
      </c>
      <c r="G707" s="69" t="s">
        <v>105</v>
      </c>
      <c r="H707" s="69" t="s">
        <v>145</v>
      </c>
      <c r="I707" s="69" t="s">
        <v>118</v>
      </c>
      <c r="J707" s="72">
        <v>400</v>
      </c>
    </row>
    <row r="708" spans="1:10" ht="15" customHeight="1">
      <c r="A708" s="70">
        <v>44021</v>
      </c>
      <c r="B708" s="69" t="s">
        <v>786</v>
      </c>
      <c r="C708" s="69" t="s">
        <v>116</v>
      </c>
      <c r="D708" s="71">
        <v>42</v>
      </c>
      <c r="E708" s="69" t="s">
        <v>109</v>
      </c>
      <c r="F708" s="69" t="s">
        <v>105</v>
      </c>
      <c r="G708" s="69" t="s">
        <v>105</v>
      </c>
      <c r="H708" s="69" t="s">
        <v>145</v>
      </c>
      <c r="I708" s="69" t="s">
        <v>107</v>
      </c>
      <c r="J708" s="72">
        <v>400</v>
      </c>
    </row>
    <row r="709" spans="1:10" ht="15" customHeight="1">
      <c r="A709" s="70">
        <v>44021</v>
      </c>
      <c r="B709" s="69" t="s">
        <v>787</v>
      </c>
      <c r="C709" s="69" t="s">
        <v>116</v>
      </c>
      <c r="D709" s="71">
        <v>4</v>
      </c>
      <c r="E709" s="69" t="s">
        <v>109</v>
      </c>
      <c r="F709" s="69" t="s">
        <v>120</v>
      </c>
      <c r="G709" s="69" t="s">
        <v>121</v>
      </c>
      <c r="H709" s="69" t="s">
        <v>117</v>
      </c>
      <c r="I709" s="69" t="s">
        <v>118</v>
      </c>
      <c r="J709" s="72">
        <v>78</v>
      </c>
    </row>
    <row r="710" spans="1:10" ht="15" customHeight="1">
      <c r="A710" s="70">
        <v>44021</v>
      </c>
      <c r="B710" s="69" t="s">
        <v>788</v>
      </c>
      <c r="C710" s="69" t="s">
        <v>103</v>
      </c>
      <c r="D710" s="71">
        <v>65</v>
      </c>
      <c r="E710" s="69" t="s">
        <v>109</v>
      </c>
      <c r="F710" s="69" t="s">
        <v>105</v>
      </c>
      <c r="G710" s="69" t="s">
        <v>105</v>
      </c>
      <c r="H710" s="69" t="s">
        <v>128</v>
      </c>
      <c r="I710" s="69" t="s">
        <v>118</v>
      </c>
      <c r="J710" s="72">
        <v>400</v>
      </c>
    </row>
    <row r="711" spans="1:10" ht="15" customHeight="1">
      <c r="A711" s="70">
        <v>44022</v>
      </c>
      <c r="B711" s="69" t="s">
        <v>789</v>
      </c>
      <c r="C711" s="69" t="s">
        <v>103</v>
      </c>
      <c r="D711" s="71">
        <v>19</v>
      </c>
      <c r="E711" s="69" t="s">
        <v>109</v>
      </c>
      <c r="F711" s="69" t="s">
        <v>105</v>
      </c>
      <c r="G711" s="69" t="s">
        <v>105</v>
      </c>
      <c r="H711" s="69" t="s">
        <v>110</v>
      </c>
      <c r="I711" s="69" t="s">
        <v>111</v>
      </c>
      <c r="J711" s="72">
        <v>400</v>
      </c>
    </row>
    <row r="712" spans="1:10" ht="15" customHeight="1">
      <c r="A712" s="70">
        <v>44022</v>
      </c>
      <c r="B712" s="69" t="s">
        <v>790</v>
      </c>
      <c r="C712" s="69" t="s">
        <v>103</v>
      </c>
      <c r="D712" s="71">
        <v>6</v>
      </c>
      <c r="E712" s="69" t="s">
        <v>109</v>
      </c>
      <c r="F712" s="69" t="s">
        <v>105</v>
      </c>
      <c r="G712" s="69" t="s">
        <v>105</v>
      </c>
      <c r="H712" s="69" t="s">
        <v>128</v>
      </c>
      <c r="I712" s="69" t="s">
        <v>114</v>
      </c>
      <c r="J712" s="72">
        <v>400</v>
      </c>
    </row>
    <row r="713" spans="1:10" ht="15" customHeight="1">
      <c r="A713" s="70">
        <v>44022</v>
      </c>
      <c r="B713" s="69" t="s">
        <v>755</v>
      </c>
      <c r="C713" s="69" t="s">
        <v>116</v>
      </c>
      <c r="D713" s="71">
        <v>59</v>
      </c>
      <c r="E713" s="69" t="s">
        <v>139</v>
      </c>
      <c r="F713" s="69" t="s">
        <v>120</v>
      </c>
      <c r="G713" s="69" t="s">
        <v>121</v>
      </c>
      <c r="H713" s="69" t="s">
        <v>128</v>
      </c>
      <c r="I713" s="69" t="s">
        <v>118</v>
      </c>
      <c r="J713" s="72">
        <v>78</v>
      </c>
    </row>
    <row r="714" spans="1:10" ht="15" customHeight="1">
      <c r="A714" s="70">
        <v>44023</v>
      </c>
      <c r="B714" s="69" t="s">
        <v>791</v>
      </c>
      <c r="C714" s="69" t="s">
        <v>116</v>
      </c>
      <c r="D714" s="71">
        <v>8</v>
      </c>
      <c r="E714" s="69" t="s">
        <v>113</v>
      </c>
      <c r="F714" s="69" t="s">
        <v>105</v>
      </c>
      <c r="G714" s="69" t="s">
        <v>105</v>
      </c>
      <c r="H714" s="69" t="s">
        <v>110</v>
      </c>
      <c r="I714" s="69" t="s">
        <v>114</v>
      </c>
      <c r="J714" s="72">
        <v>400</v>
      </c>
    </row>
    <row r="715" spans="1:10" ht="15" customHeight="1">
      <c r="A715" s="70">
        <v>44023</v>
      </c>
      <c r="B715" s="69" t="s">
        <v>792</v>
      </c>
      <c r="C715" s="69" t="s">
        <v>116</v>
      </c>
      <c r="D715" s="71">
        <v>41</v>
      </c>
      <c r="E715" s="69" t="s">
        <v>109</v>
      </c>
      <c r="F715" s="69" t="s">
        <v>105</v>
      </c>
      <c r="G715" s="69" t="s">
        <v>105</v>
      </c>
      <c r="H715" s="69" t="s">
        <v>117</v>
      </c>
      <c r="I715" s="69" t="s">
        <v>114</v>
      </c>
      <c r="J715" s="72">
        <v>400</v>
      </c>
    </row>
    <row r="716" spans="1:10" ht="15" customHeight="1">
      <c r="A716" s="70">
        <v>44023</v>
      </c>
      <c r="B716" s="69" t="s">
        <v>793</v>
      </c>
      <c r="C716" s="69" t="s">
        <v>103</v>
      </c>
      <c r="D716" s="71">
        <v>42</v>
      </c>
      <c r="E716" s="69" t="s">
        <v>113</v>
      </c>
      <c r="F716" s="69" t="s">
        <v>120</v>
      </c>
      <c r="G716" s="69" t="s">
        <v>121</v>
      </c>
      <c r="H716" s="69" t="s">
        <v>128</v>
      </c>
      <c r="I716" s="69" t="s">
        <v>118</v>
      </c>
      <c r="J716" s="72">
        <v>78</v>
      </c>
    </row>
    <row r="717" spans="1:10" ht="15" customHeight="1">
      <c r="A717" s="70">
        <v>44023</v>
      </c>
      <c r="B717" s="69" t="s">
        <v>794</v>
      </c>
      <c r="C717" s="69" t="s">
        <v>116</v>
      </c>
      <c r="D717" s="71">
        <v>62</v>
      </c>
      <c r="E717" s="69" t="s">
        <v>139</v>
      </c>
      <c r="F717" s="69" t="s">
        <v>120</v>
      </c>
      <c r="G717" s="69" t="s">
        <v>121</v>
      </c>
      <c r="H717" s="69" t="s">
        <v>110</v>
      </c>
      <c r="I717" s="69" t="s">
        <v>114</v>
      </c>
      <c r="J717" s="72">
        <v>78</v>
      </c>
    </row>
    <row r="718" spans="1:10" ht="15" customHeight="1">
      <c r="A718" s="70">
        <v>44024</v>
      </c>
      <c r="B718" s="69" t="s">
        <v>795</v>
      </c>
      <c r="C718" s="69" t="s">
        <v>116</v>
      </c>
      <c r="D718" s="71">
        <v>13</v>
      </c>
      <c r="E718" s="69" t="s">
        <v>113</v>
      </c>
      <c r="F718" s="69" t="s">
        <v>105</v>
      </c>
      <c r="G718" s="69" t="s">
        <v>105</v>
      </c>
      <c r="H718" s="69" t="s">
        <v>110</v>
      </c>
      <c r="I718" s="69" t="s">
        <v>118</v>
      </c>
      <c r="J718" s="72">
        <v>400</v>
      </c>
    </row>
    <row r="719" spans="1:10" ht="15" customHeight="1">
      <c r="A719" s="70">
        <v>44024</v>
      </c>
      <c r="B719" s="69" t="s">
        <v>796</v>
      </c>
      <c r="C719" s="69" t="s">
        <v>116</v>
      </c>
      <c r="D719" s="71">
        <v>12</v>
      </c>
      <c r="E719" s="69" t="s">
        <v>104</v>
      </c>
      <c r="F719" s="69" t="s">
        <v>120</v>
      </c>
      <c r="G719" s="69" t="s">
        <v>142</v>
      </c>
      <c r="H719" s="69" t="s">
        <v>145</v>
      </c>
      <c r="I719" s="69" t="s">
        <v>111</v>
      </c>
      <c r="J719" s="72">
        <v>52</v>
      </c>
    </row>
    <row r="720" spans="1:10" ht="15" customHeight="1">
      <c r="A720" s="70">
        <v>44025</v>
      </c>
      <c r="B720" s="69" t="s">
        <v>797</v>
      </c>
      <c r="C720" s="69" t="s">
        <v>103</v>
      </c>
      <c r="D720" s="71">
        <v>9</v>
      </c>
      <c r="E720" s="69" t="s">
        <v>113</v>
      </c>
      <c r="F720" s="69" t="s">
        <v>120</v>
      </c>
      <c r="G720" s="69" t="s">
        <v>121</v>
      </c>
      <c r="H720" s="69" t="s">
        <v>131</v>
      </c>
      <c r="I720" s="69" t="s">
        <v>129</v>
      </c>
      <c r="J720" s="72">
        <v>78</v>
      </c>
    </row>
    <row r="721" spans="1:10" ht="15" customHeight="1">
      <c r="A721" s="70">
        <v>44025</v>
      </c>
      <c r="B721" s="69" t="s">
        <v>798</v>
      </c>
      <c r="C721" s="69" t="s">
        <v>116</v>
      </c>
      <c r="D721" s="71">
        <v>8</v>
      </c>
      <c r="E721" s="69" t="s">
        <v>113</v>
      </c>
      <c r="F721" s="69" t="s">
        <v>120</v>
      </c>
      <c r="G721" s="69" t="s">
        <v>123</v>
      </c>
      <c r="H721" s="69" t="s">
        <v>110</v>
      </c>
      <c r="I721" s="69" t="s">
        <v>107</v>
      </c>
      <c r="J721" s="72">
        <v>90</v>
      </c>
    </row>
    <row r="722" spans="1:10" ht="15" customHeight="1">
      <c r="A722" s="70">
        <v>44025</v>
      </c>
      <c r="B722" s="69" t="s">
        <v>799</v>
      </c>
      <c r="C722" s="69" t="s">
        <v>103</v>
      </c>
      <c r="D722" s="71">
        <v>24</v>
      </c>
      <c r="E722" s="69" t="s">
        <v>139</v>
      </c>
      <c r="F722" s="69" t="s">
        <v>105</v>
      </c>
      <c r="G722" s="69" t="s">
        <v>105</v>
      </c>
      <c r="H722" s="69" t="s">
        <v>117</v>
      </c>
      <c r="I722" s="69" t="s">
        <v>107</v>
      </c>
      <c r="J722" s="72">
        <v>400</v>
      </c>
    </row>
    <row r="723" spans="1:10" ht="15" customHeight="1">
      <c r="A723" s="70">
        <v>44025</v>
      </c>
      <c r="B723" s="69" t="s">
        <v>800</v>
      </c>
      <c r="C723" s="69" t="s">
        <v>103</v>
      </c>
      <c r="D723" s="71">
        <v>12</v>
      </c>
      <c r="E723" s="69" t="s">
        <v>104</v>
      </c>
      <c r="F723" s="69" t="s">
        <v>120</v>
      </c>
      <c r="G723" s="69" t="s">
        <v>125</v>
      </c>
      <c r="H723" s="69" t="s">
        <v>131</v>
      </c>
      <c r="I723" s="69" t="s">
        <v>118</v>
      </c>
      <c r="J723" s="72">
        <v>65</v>
      </c>
    </row>
    <row r="724" spans="1:10" ht="15" customHeight="1">
      <c r="A724" s="70">
        <v>44025</v>
      </c>
      <c r="B724" s="69" t="s">
        <v>801</v>
      </c>
      <c r="C724" s="69" t="s">
        <v>116</v>
      </c>
      <c r="D724" s="71">
        <v>40</v>
      </c>
      <c r="E724" s="69" t="s">
        <v>109</v>
      </c>
      <c r="F724" s="69" t="s">
        <v>120</v>
      </c>
      <c r="G724" s="69" t="s">
        <v>121</v>
      </c>
      <c r="H724" s="69" t="s">
        <v>128</v>
      </c>
      <c r="I724" s="69" t="s">
        <v>159</v>
      </c>
      <c r="J724" s="72">
        <v>78</v>
      </c>
    </row>
    <row r="725" spans="1:10" ht="15" customHeight="1">
      <c r="A725" s="70">
        <v>44025</v>
      </c>
      <c r="B725" s="69" t="s">
        <v>802</v>
      </c>
      <c r="C725" s="69" t="s">
        <v>103</v>
      </c>
      <c r="D725" s="71">
        <v>61</v>
      </c>
      <c r="E725" s="69" t="s">
        <v>113</v>
      </c>
      <c r="F725" s="69" t="s">
        <v>105</v>
      </c>
      <c r="G725" s="69" t="s">
        <v>105</v>
      </c>
      <c r="H725" s="69" t="s">
        <v>126</v>
      </c>
      <c r="I725" s="69" t="s">
        <v>129</v>
      </c>
      <c r="J725" s="72">
        <v>400</v>
      </c>
    </row>
    <row r="726" spans="1:10" ht="15" customHeight="1">
      <c r="A726" s="70">
        <v>44026</v>
      </c>
      <c r="B726" s="69" t="s">
        <v>803</v>
      </c>
      <c r="C726" s="69" t="s">
        <v>116</v>
      </c>
      <c r="D726" s="71">
        <v>48</v>
      </c>
      <c r="E726" s="69" t="s">
        <v>139</v>
      </c>
      <c r="F726" s="69" t="s">
        <v>120</v>
      </c>
      <c r="G726" s="69" t="s">
        <v>121</v>
      </c>
      <c r="H726" s="69" t="s">
        <v>131</v>
      </c>
      <c r="I726" s="69" t="s">
        <v>111</v>
      </c>
      <c r="J726" s="72">
        <v>78</v>
      </c>
    </row>
    <row r="727" spans="1:10" ht="15" customHeight="1">
      <c r="A727" s="70">
        <v>44026</v>
      </c>
      <c r="B727" s="69" t="s">
        <v>804</v>
      </c>
      <c r="C727" s="69" t="s">
        <v>116</v>
      </c>
      <c r="D727" s="71">
        <v>13</v>
      </c>
      <c r="E727" s="69" t="s">
        <v>113</v>
      </c>
      <c r="F727" s="69" t="s">
        <v>105</v>
      </c>
      <c r="G727" s="69" t="s">
        <v>105</v>
      </c>
      <c r="H727" s="69" t="s">
        <v>128</v>
      </c>
      <c r="I727" s="69" t="s">
        <v>114</v>
      </c>
      <c r="J727" s="72">
        <v>400</v>
      </c>
    </row>
    <row r="728" spans="1:10" ht="15" customHeight="1">
      <c r="A728" s="70">
        <v>44026</v>
      </c>
      <c r="B728" s="69" t="s">
        <v>805</v>
      </c>
      <c r="C728" s="69" t="s">
        <v>103</v>
      </c>
      <c r="D728" s="71">
        <v>21</v>
      </c>
      <c r="E728" s="69" t="s">
        <v>113</v>
      </c>
      <c r="F728" s="69" t="s">
        <v>120</v>
      </c>
      <c r="G728" s="69" t="s">
        <v>121</v>
      </c>
      <c r="H728" s="69" t="s">
        <v>117</v>
      </c>
      <c r="I728" s="69" t="s">
        <v>159</v>
      </c>
      <c r="J728" s="72">
        <v>78</v>
      </c>
    </row>
    <row r="729" spans="1:10" ht="15" customHeight="1">
      <c r="A729" s="70">
        <v>44026</v>
      </c>
      <c r="B729" s="69" t="s">
        <v>806</v>
      </c>
      <c r="C729" s="69" t="s">
        <v>116</v>
      </c>
      <c r="D729" s="71">
        <v>63</v>
      </c>
      <c r="E729" s="69" t="s">
        <v>139</v>
      </c>
      <c r="F729" s="69" t="s">
        <v>105</v>
      </c>
      <c r="G729" s="69" t="s">
        <v>105</v>
      </c>
      <c r="H729" s="69" t="s">
        <v>126</v>
      </c>
      <c r="I729" s="69" t="s">
        <v>118</v>
      </c>
      <c r="J729" s="72">
        <v>400</v>
      </c>
    </row>
    <row r="730" spans="1:10" ht="15" customHeight="1">
      <c r="A730" s="70">
        <v>44026</v>
      </c>
      <c r="B730" s="69" t="s">
        <v>807</v>
      </c>
      <c r="C730" s="69" t="s">
        <v>116</v>
      </c>
      <c r="D730" s="71">
        <v>14</v>
      </c>
      <c r="E730" s="69" t="s">
        <v>139</v>
      </c>
      <c r="F730" s="69" t="s">
        <v>105</v>
      </c>
      <c r="G730" s="69" t="s">
        <v>105</v>
      </c>
      <c r="H730" s="69" t="s">
        <v>131</v>
      </c>
      <c r="I730" s="69" t="s">
        <v>129</v>
      </c>
      <c r="J730" s="72">
        <v>400</v>
      </c>
    </row>
    <row r="731" spans="1:10" ht="15" customHeight="1">
      <c r="A731" s="70">
        <v>44026</v>
      </c>
      <c r="B731" s="69" t="s">
        <v>808</v>
      </c>
      <c r="C731" s="69" t="s">
        <v>103</v>
      </c>
      <c r="D731" s="71">
        <v>9</v>
      </c>
      <c r="E731" s="69" t="s">
        <v>139</v>
      </c>
      <c r="F731" s="69" t="s">
        <v>105</v>
      </c>
      <c r="G731" s="69" t="s">
        <v>105</v>
      </c>
      <c r="H731" s="69" t="s">
        <v>110</v>
      </c>
      <c r="I731" s="69" t="s">
        <v>159</v>
      </c>
      <c r="J731" s="72">
        <v>400</v>
      </c>
    </row>
    <row r="732" spans="1:10" ht="15" customHeight="1">
      <c r="A732" s="70">
        <v>44027</v>
      </c>
      <c r="B732" s="69" t="s">
        <v>809</v>
      </c>
      <c r="C732" s="69" t="s">
        <v>103</v>
      </c>
      <c r="D732" s="71">
        <v>38</v>
      </c>
      <c r="E732" s="69" t="s">
        <v>104</v>
      </c>
      <c r="F732" s="69" t="s">
        <v>120</v>
      </c>
      <c r="G732" s="69" t="s">
        <v>121</v>
      </c>
      <c r="H732" s="69" t="s">
        <v>110</v>
      </c>
      <c r="I732" s="69" t="s">
        <v>118</v>
      </c>
      <c r="J732" s="72">
        <v>78</v>
      </c>
    </row>
    <row r="733" spans="1:10" ht="15" customHeight="1">
      <c r="A733" s="70">
        <v>44027</v>
      </c>
      <c r="B733" s="69" t="s">
        <v>810</v>
      </c>
      <c r="C733" s="69" t="s">
        <v>116</v>
      </c>
      <c r="D733" s="71">
        <v>27</v>
      </c>
      <c r="E733" s="69" t="s">
        <v>109</v>
      </c>
      <c r="F733" s="69" t="s">
        <v>105</v>
      </c>
      <c r="G733" s="69" t="s">
        <v>105</v>
      </c>
      <c r="H733" s="69" t="s">
        <v>145</v>
      </c>
      <c r="I733" s="69" t="s">
        <v>111</v>
      </c>
      <c r="J733" s="72">
        <v>400</v>
      </c>
    </row>
    <row r="734" spans="1:10" ht="15" customHeight="1">
      <c r="A734" s="70">
        <v>44027</v>
      </c>
      <c r="B734" s="69" t="s">
        <v>811</v>
      </c>
      <c r="C734" s="69" t="s">
        <v>116</v>
      </c>
      <c r="D734" s="71">
        <v>73</v>
      </c>
      <c r="E734" s="69" t="s">
        <v>104</v>
      </c>
      <c r="F734" s="69" t="s">
        <v>120</v>
      </c>
      <c r="G734" s="69" t="s">
        <v>142</v>
      </c>
      <c r="H734" s="69" t="s">
        <v>117</v>
      </c>
      <c r="I734" s="69" t="s">
        <v>107</v>
      </c>
      <c r="J734" s="72">
        <v>52</v>
      </c>
    </row>
    <row r="735" spans="1:10" ht="15" customHeight="1">
      <c r="A735" s="70">
        <v>44028</v>
      </c>
      <c r="B735" s="69" t="s">
        <v>812</v>
      </c>
      <c r="C735" s="69" t="s">
        <v>116</v>
      </c>
      <c r="D735" s="71">
        <v>57</v>
      </c>
      <c r="E735" s="69" t="s">
        <v>109</v>
      </c>
      <c r="F735" s="69" t="s">
        <v>105</v>
      </c>
      <c r="G735" s="69" t="s">
        <v>105</v>
      </c>
      <c r="H735" s="69" t="s">
        <v>131</v>
      </c>
      <c r="I735" s="69" t="s">
        <v>107</v>
      </c>
      <c r="J735" s="72">
        <v>400</v>
      </c>
    </row>
    <row r="736" spans="1:10" ht="15" customHeight="1">
      <c r="A736" s="70">
        <v>44028</v>
      </c>
      <c r="B736" s="69" t="s">
        <v>813</v>
      </c>
      <c r="C736" s="69" t="s">
        <v>116</v>
      </c>
      <c r="D736" s="71">
        <v>48</v>
      </c>
      <c r="E736" s="69" t="s">
        <v>113</v>
      </c>
      <c r="F736" s="69" t="s">
        <v>105</v>
      </c>
      <c r="G736" s="69" t="s">
        <v>105</v>
      </c>
      <c r="H736" s="69" t="s">
        <v>137</v>
      </c>
      <c r="I736" s="69" t="s">
        <v>111</v>
      </c>
      <c r="J736" s="72">
        <v>400</v>
      </c>
    </row>
    <row r="737" spans="1:10" ht="15" customHeight="1">
      <c r="A737" s="70">
        <v>44028</v>
      </c>
      <c r="B737" s="69" t="s">
        <v>814</v>
      </c>
      <c r="C737" s="69" t="s">
        <v>116</v>
      </c>
      <c r="D737" s="71">
        <v>15</v>
      </c>
      <c r="E737" s="69" t="s">
        <v>113</v>
      </c>
      <c r="F737" s="69" t="s">
        <v>120</v>
      </c>
      <c r="G737" s="69" t="s">
        <v>121</v>
      </c>
      <c r="H737" s="69" t="s">
        <v>145</v>
      </c>
      <c r="I737" s="69" t="s">
        <v>111</v>
      </c>
      <c r="J737" s="72">
        <v>78</v>
      </c>
    </row>
    <row r="738" spans="1:10" ht="15" customHeight="1">
      <c r="A738" s="70">
        <v>44028</v>
      </c>
      <c r="B738" s="69" t="s">
        <v>815</v>
      </c>
      <c r="C738" s="69" t="s">
        <v>103</v>
      </c>
      <c r="D738" s="71">
        <v>33</v>
      </c>
      <c r="E738" s="69" t="s">
        <v>104</v>
      </c>
      <c r="F738" s="69" t="s">
        <v>120</v>
      </c>
      <c r="G738" s="69" t="s">
        <v>121</v>
      </c>
      <c r="H738" s="69" t="s">
        <v>145</v>
      </c>
      <c r="I738" s="69" t="s">
        <v>114</v>
      </c>
      <c r="J738" s="72">
        <v>78</v>
      </c>
    </row>
    <row r="739" spans="1:10" ht="15" customHeight="1">
      <c r="A739" s="70">
        <v>44028</v>
      </c>
      <c r="B739" s="69" t="s">
        <v>816</v>
      </c>
      <c r="C739" s="69" t="s">
        <v>116</v>
      </c>
      <c r="D739" s="71">
        <v>49</v>
      </c>
      <c r="E739" s="69" t="s">
        <v>139</v>
      </c>
      <c r="F739" s="69" t="s">
        <v>120</v>
      </c>
      <c r="G739" s="69" t="s">
        <v>123</v>
      </c>
      <c r="H739" s="69" t="s">
        <v>145</v>
      </c>
      <c r="I739" s="69" t="s">
        <v>111</v>
      </c>
      <c r="J739" s="72">
        <v>90</v>
      </c>
    </row>
    <row r="740" spans="1:10" ht="15" customHeight="1">
      <c r="A740" s="70">
        <v>44028</v>
      </c>
      <c r="B740" s="69" t="s">
        <v>817</v>
      </c>
      <c r="C740" s="69" t="s">
        <v>116</v>
      </c>
      <c r="D740" s="71">
        <v>65</v>
      </c>
      <c r="E740" s="69" t="s">
        <v>109</v>
      </c>
      <c r="F740" s="69" t="s">
        <v>105</v>
      </c>
      <c r="G740" s="69" t="s">
        <v>105</v>
      </c>
      <c r="H740" s="69" t="s">
        <v>110</v>
      </c>
      <c r="I740" s="69" t="s">
        <v>114</v>
      </c>
      <c r="J740" s="72">
        <v>400</v>
      </c>
    </row>
    <row r="741" spans="1:10" ht="15" customHeight="1">
      <c r="A741" s="70">
        <v>44028</v>
      </c>
      <c r="B741" s="69" t="s">
        <v>818</v>
      </c>
      <c r="C741" s="69" t="s">
        <v>116</v>
      </c>
      <c r="D741" s="71">
        <v>62</v>
      </c>
      <c r="E741" s="69" t="s">
        <v>104</v>
      </c>
      <c r="F741" s="69" t="s">
        <v>120</v>
      </c>
      <c r="G741" s="69" t="s">
        <v>121</v>
      </c>
      <c r="H741" s="69" t="s">
        <v>110</v>
      </c>
      <c r="I741" s="69" t="s">
        <v>107</v>
      </c>
      <c r="J741" s="72">
        <v>78</v>
      </c>
    </row>
    <row r="742" spans="1:10" ht="15" customHeight="1">
      <c r="A742" s="70">
        <v>44029</v>
      </c>
      <c r="B742" s="69" t="s">
        <v>819</v>
      </c>
      <c r="C742" s="69" t="s">
        <v>103</v>
      </c>
      <c r="D742" s="71">
        <v>52</v>
      </c>
      <c r="E742" s="69" t="s">
        <v>113</v>
      </c>
      <c r="F742" s="69" t="s">
        <v>105</v>
      </c>
      <c r="G742" s="69" t="s">
        <v>105</v>
      </c>
      <c r="H742" s="69" t="s">
        <v>106</v>
      </c>
      <c r="I742" s="69" t="s">
        <v>107</v>
      </c>
      <c r="J742" s="72">
        <v>400</v>
      </c>
    </row>
    <row r="743" spans="1:10" ht="15" customHeight="1">
      <c r="A743" s="70">
        <v>44029</v>
      </c>
      <c r="B743" s="69" t="s">
        <v>820</v>
      </c>
      <c r="C743" s="69" t="s">
        <v>116</v>
      </c>
      <c r="D743" s="71">
        <v>2</v>
      </c>
      <c r="E743" s="69" t="s">
        <v>104</v>
      </c>
      <c r="F743" s="69" t="s">
        <v>105</v>
      </c>
      <c r="G743" s="69" t="s">
        <v>105</v>
      </c>
      <c r="H743" s="69" t="s">
        <v>106</v>
      </c>
      <c r="I743" s="69" t="s">
        <v>118</v>
      </c>
      <c r="J743" s="72">
        <v>400</v>
      </c>
    </row>
    <row r="744" spans="1:10" ht="15" customHeight="1">
      <c r="A744" s="70">
        <v>44029</v>
      </c>
      <c r="B744" s="69" t="s">
        <v>821</v>
      </c>
      <c r="C744" s="69" t="s">
        <v>116</v>
      </c>
      <c r="D744" s="71">
        <v>67</v>
      </c>
      <c r="E744" s="69" t="s">
        <v>113</v>
      </c>
      <c r="F744" s="69" t="s">
        <v>105</v>
      </c>
      <c r="G744" s="69" t="s">
        <v>105</v>
      </c>
      <c r="H744" s="69" t="s">
        <v>106</v>
      </c>
      <c r="I744" s="69" t="s">
        <v>159</v>
      </c>
      <c r="J744" s="72">
        <v>400</v>
      </c>
    </row>
    <row r="745" spans="1:10" ht="15" customHeight="1">
      <c r="A745" s="70">
        <v>44030</v>
      </c>
      <c r="B745" s="69" t="s">
        <v>822</v>
      </c>
      <c r="C745" s="69" t="s">
        <v>116</v>
      </c>
      <c r="D745" s="71">
        <v>25</v>
      </c>
      <c r="E745" s="69" t="s">
        <v>104</v>
      </c>
      <c r="F745" s="69" t="s">
        <v>105</v>
      </c>
      <c r="G745" s="69" t="s">
        <v>105</v>
      </c>
      <c r="H745" s="69" t="s">
        <v>117</v>
      </c>
      <c r="I745" s="69" t="s">
        <v>111</v>
      </c>
      <c r="J745" s="72">
        <v>400</v>
      </c>
    </row>
    <row r="746" spans="1:10" ht="15" customHeight="1">
      <c r="A746" s="70">
        <v>44030</v>
      </c>
      <c r="B746" s="69" t="s">
        <v>740</v>
      </c>
      <c r="C746" s="69" t="s">
        <v>116</v>
      </c>
      <c r="D746" s="71">
        <v>31</v>
      </c>
      <c r="E746" s="69" t="s">
        <v>113</v>
      </c>
      <c r="F746" s="69" t="s">
        <v>120</v>
      </c>
      <c r="G746" s="69" t="s">
        <v>121</v>
      </c>
      <c r="H746" s="69" t="s">
        <v>137</v>
      </c>
      <c r="I746" s="69" t="s">
        <v>111</v>
      </c>
      <c r="J746" s="72">
        <v>78</v>
      </c>
    </row>
    <row r="747" spans="1:10" ht="15" customHeight="1">
      <c r="A747" s="70">
        <v>44030</v>
      </c>
      <c r="B747" s="69" t="s">
        <v>823</v>
      </c>
      <c r="C747" s="69" t="s">
        <v>116</v>
      </c>
      <c r="D747" s="71">
        <v>13</v>
      </c>
      <c r="E747" s="69" t="s">
        <v>104</v>
      </c>
      <c r="F747" s="69" t="s">
        <v>105</v>
      </c>
      <c r="G747" s="69" t="s">
        <v>105</v>
      </c>
      <c r="H747" s="69" t="s">
        <v>106</v>
      </c>
      <c r="I747" s="69" t="s">
        <v>129</v>
      </c>
      <c r="J747" s="72">
        <v>400</v>
      </c>
    </row>
    <row r="748" spans="1:10" ht="15" customHeight="1">
      <c r="A748" s="70">
        <v>44030</v>
      </c>
      <c r="B748" s="69" t="s">
        <v>824</v>
      </c>
      <c r="C748" s="69" t="s">
        <v>116</v>
      </c>
      <c r="D748" s="71">
        <v>9</v>
      </c>
      <c r="E748" s="69" t="s">
        <v>109</v>
      </c>
      <c r="F748" s="69" t="s">
        <v>105</v>
      </c>
      <c r="G748" s="69" t="s">
        <v>105</v>
      </c>
      <c r="H748" s="69" t="s">
        <v>131</v>
      </c>
      <c r="I748" s="69" t="s">
        <v>118</v>
      </c>
      <c r="J748" s="72">
        <v>400</v>
      </c>
    </row>
    <row r="749" spans="1:10" ht="15" customHeight="1">
      <c r="A749" s="70">
        <v>44031</v>
      </c>
      <c r="B749" s="69" t="s">
        <v>549</v>
      </c>
      <c r="C749" s="69" t="s">
        <v>116</v>
      </c>
      <c r="D749" s="71">
        <v>24</v>
      </c>
      <c r="E749" s="69" t="s">
        <v>104</v>
      </c>
      <c r="F749" s="69" t="s">
        <v>105</v>
      </c>
      <c r="G749" s="69" t="s">
        <v>105</v>
      </c>
      <c r="H749" s="69" t="s">
        <v>128</v>
      </c>
      <c r="I749" s="69" t="s">
        <v>129</v>
      </c>
      <c r="J749" s="72">
        <v>400</v>
      </c>
    </row>
    <row r="750" spans="1:10" ht="15" customHeight="1">
      <c r="A750" s="70">
        <v>44031</v>
      </c>
      <c r="B750" s="69" t="s">
        <v>825</v>
      </c>
      <c r="C750" s="69" t="s">
        <v>116</v>
      </c>
      <c r="D750" s="71">
        <v>28</v>
      </c>
      <c r="E750" s="69" t="s">
        <v>113</v>
      </c>
      <c r="F750" s="69" t="s">
        <v>105</v>
      </c>
      <c r="G750" s="69" t="s">
        <v>105</v>
      </c>
      <c r="H750" s="69" t="s">
        <v>128</v>
      </c>
      <c r="I750" s="69" t="s">
        <v>114</v>
      </c>
      <c r="J750" s="72">
        <v>400</v>
      </c>
    </row>
    <row r="751" spans="1:10" ht="15" customHeight="1">
      <c r="A751" s="70">
        <v>44031</v>
      </c>
      <c r="B751" s="69" t="s">
        <v>826</v>
      </c>
      <c r="C751" s="69" t="s">
        <v>116</v>
      </c>
      <c r="D751" s="71">
        <v>72</v>
      </c>
      <c r="E751" s="69" t="s">
        <v>109</v>
      </c>
      <c r="F751" s="69" t="s">
        <v>105</v>
      </c>
      <c r="G751" s="69" t="s">
        <v>105</v>
      </c>
      <c r="H751" s="69" t="s">
        <v>110</v>
      </c>
      <c r="I751" s="69" t="s">
        <v>118</v>
      </c>
      <c r="J751" s="72">
        <v>400</v>
      </c>
    </row>
    <row r="752" spans="1:10" ht="15" customHeight="1">
      <c r="A752" s="70">
        <v>44031</v>
      </c>
      <c r="B752" s="69" t="s">
        <v>827</v>
      </c>
      <c r="C752" s="69" t="s">
        <v>103</v>
      </c>
      <c r="D752" s="71">
        <v>10</v>
      </c>
      <c r="E752" s="69" t="s">
        <v>113</v>
      </c>
      <c r="F752" s="69" t="s">
        <v>120</v>
      </c>
      <c r="G752" s="69" t="s">
        <v>125</v>
      </c>
      <c r="H752" s="69" t="s">
        <v>106</v>
      </c>
      <c r="I752" s="69" t="s">
        <v>107</v>
      </c>
      <c r="J752" s="72">
        <v>65</v>
      </c>
    </row>
    <row r="753" spans="1:10" ht="15" customHeight="1">
      <c r="A753" s="70">
        <v>44031</v>
      </c>
      <c r="B753" s="69" t="s">
        <v>828</v>
      </c>
      <c r="C753" s="69" t="s">
        <v>103</v>
      </c>
      <c r="D753" s="71">
        <v>21</v>
      </c>
      <c r="E753" s="69" t="s">
        <v>139</v>
      </c>
      <c r="F753" s="69" t="s">
        <v>105</v>
      </c>
      <c r="G753" s="69" t="s">
        <v>105</v>
      </c>
      <c r="H753" s="69" t="s">
        <v>137</v>
      </c>
      <c r="I753" s="69" t="s">
        <v>111</v>
      </c>
      <c r="J753" s="72">
        <v>400</v>
      </c>
    </row>
    <row r="754" spans="1:10" ht="15" customHeight="1">
      <c r="A754" s="70">
        <v>44032</v>
      </c>
      <c r="B754" s="69" t="s">
        <v>829</v>
      </c>
      <c r="C754" s="69" t="s">
        <v>116</v>
      </c>
      <c r="D754" s="71">
        <v>12</v>
      </c>
      <c r="E754" s="69" t="s">
        <v>109</v>
      </c>
      <c r="F754" s="69" t="s">
        <v>120</v>
      </c>
      <c r="G754" s="69" t="s">
        <v>121</v>
      </c>
      <c r="H754" s="69" t="s">
        <v>131</v>
      </c>
      <c r="I754" s="69" t="s">
        <v>114</v>
      </c>
      <c r="J754" s="72">
        <v>78</v>
      </c>
    </row>
    <row r="755" spans="1:10" ht="15" customHeight="1">
      <c r="A755" s="70">
        <v>44032</v>
      </c>
      <c r="B755" s="69" t="s">
        <v>830</v>
      </c>
      <c r="C755" s="69" t="s">
        <v>103</v>
      </c>
      <c r="D755" s="71">
        <v>3</v>
      </c>
      <c r="E755" s="69" t="s">
        <v>113</v>
      </c>
      <c r="F755" s="69" t="s">
        <v>120</v>
      </c>
      <c r="G755" s="69" t="s">
        <v>123</v>
      </c>
      <c r="H755" s="69" t="s">
        <v>117</v>
      </c>
      <c r="I755" s="69" t="s">
        <v>114</v>
      </c>
      <c r="J755" s="72">
        <v>90</v>
      </c>
    </row>
    <row r="756" spans="1:10" ht="15" customHeight="1">
      <c r="A756" s="70">
        <v>44033</v>
      </c>
      <c r="B756" s="69" t="s">
        <v>511</v>
      </c>
      <c r="C756" s="69" t="s">
        <v>116</v>
      </c>
      <c r="D756" s="71">
        <v>0</v>
      </c>
      <c r="E756" s="69" t="s">
        <v>109</v>
      </c>
      <c r="F756" s="69" t="s">
        <v>120</v>
      </c>
      <c r="G756" s="69" t="s">
        <v>121</v>
      </c>
      <c r="H756" s="69" t="s">
        <v>128</v>
      </c>
      <c r="I756" s="69" t="s">
        <v>159</v>
      </c>
      <c r="J756" s="72">
        <v>78</v>
      </c>
    </row>
    <row r="757" spans="1:10" ht="15" customHeight="1">
      <c r="A757" s="70">
        <v>44033</v>
      </c>
      <c r="B757" s="69" t="s">
        <v>831</v>
      </c>
      <c r="C757" s="69" t="s">
        <v>116</v>
      </c>
      <c r="D757" s="71">
        <v>56</v>
      </c>
      <c r="E757" s="69" t="s">
        <v>113</v>
      </c>
      <c r="F757" s="69" t="s">
        <v>105</v>
      </c>
      <c r="G757" s="69" t="s">
        <v>105</v>
      </c>
      <c r="H757" s="69" t="s">
        <v>117</v>
      </c>
      <c r="I757" s="69" t="s">
        <v>114</v>
      </c>
      <c r="J757" s="72">
        <v>400</v>
      </c>
    </row>
    <row r="758" spans="1:10" ht="15" customHeight="1">
      <c r="A758" s="70">
        <v>44033</v>
      </c>
      <c r="B758" s="69" t="s">
        <v>832</v>
      </c>
      <c r="C758" s="69" t="s">
        <v>103</v>
      </c>
      <c r="D758" s="71">
        <v>57</v>
      </c>
      <c r="E758" s="69" t="s">
        <v>139</v>
      </c>
      <c r="F758" s="69" t="s">
        <v>105</v>
      </c>
      <c r="G758" s="69" t="s">
        <v>105</v>
      </c>
      <c r="H758" s="69" t="s">
        <v>106</v>
      </c>
      <c r="I758" s="69" t="s">
        <v>111</v>
      </c>
      <c r="J758" s="72">
        <v>400</v>
      </c>
    </row>
    <row r="759" spans="1:10" ht="15" customHeight="1">
      <c r="A759" s="70">
        <v>44033</v>
      </c>
      <c r="B759" s="69" t="s">
        <v>833</v>
      </c>
      <c r="C759" s="69" t="s">
        <v>103</v>
      </c>
      <c r="D759" s="71">
        <v>54</v>
      </c>
      <c r="E759" s="69" t="s">
        <v>139</v>
      </c>
      <c r="F759" s="69" t="s">
        <v>105</v>
      </c>
      <c r="G759" s="69" t="s">
        <v>105</v>
      </c>
      <c r="H759" s="69" t="s">
        <v>131</v>
      </c>
      <c r="I759" s="69" t="s">
        <v>111</v>
      </c>
      <c r="J759" s="72">
        <v>400</v>
      </c>
    </row>
    <row r="760" spans="1:10" ht="15" customHeight="1">
      <c r="A760" s="70">
        <v>44033</v>
      </c>
      <c r="B760" s="69" t="s">
        <v>834</v>
      </c>
      <c r="C760" s="69" t="s">
        <v>116</v>
      </c>
      <c r="D760" s="71">
        <v>58</v>
      </c>
      <c r="E760" s="69" t="s">
        <v>113</v>
      </c>
      <c r="F760" s="69" t="s">
        <v>105</v>
      </c>
      <c r="G760" s="69" t="s">
        <v>105</v>
      </c>
      <c r="H760" s="69" t="s">
        <v>137</v>
      </c>
      <c r="I760" s="69" t="s">
        <v>118</v>
      </c>
      <c r="J760" s="72">
        <v>400</v>
      </c>
    </row>
    <row r="761" spans="1:10" ht="15" customHeight="1">
      <c r="A761" s="70">
        <v>44033</v>
      </c>
      <c r="B761" s="69" t="s">
        <v>835</v>
      </c>
      <c r="C761" s="69" t="s">
        <v>103</v>
      </c>
      <c r="D761" s="71">
        <v>57</v>
      </c>
      <c r="E761" s="69" t="s">
        <v>104</v>
      </c>
      <c r="F761" s="69" t="s">
        <v>105</v>
      </c>
      <c r="G761" s="69" t="s">
        <v>105</v>
      </c>
      <c r="H761" s="69" t="s">
        <v>110</v>
      </c>
      <c r="I761" s="69" t="s">
        <v>118</v>
      </c>
      <c r="J761" s="72">
        <v>400</v>
      </c>
    </row>
    <row r="762" spans="1:10" ht="15" customHeight="1">
      <c r="A762" s="70">
        <v>44034</v>
      </c>
      <c r="B762" s="69" t="s">
        <v>836</v>
      </c>
      <c r="C762" s="69" t="s">
        <v>103</v>
      </c>
      <c r="D762" s="71">
        <v>59</v>
      </c>
      <c r="E762" s="69" t="s">
        <v>104</v>
      </c>
      <c r="F762" s="69" t="s">
        <v>105</v>
      </c>
      <c r="G762" s="69" t="s">
        <v>105</v>
      </c>
      <c r="H762" s="69" t="s">
        <v>137</v>
      </c>
      <c r="I762" s="69" t="s">
        <v>111</v>
      </c>
      <c r="J762" s="72">
        <v>400</v>
      </c>
    </row>
    <row r="763" spans="1:10" ht="15" customHeight="1">
      <c r="A763" s="70">
        <v>44035</v>
      </c>
      <c r="B763" s="69" t="s">
        <v>837</v>
      </c>
      <c r="C763" s="69" t="s">
        <v>103</v>
      </c>
      <c r="D763" s="71">
        <v>25</v>
      </c>
      <c r="E763" s="69" t="s">
        <v>113</v>
      </c>
      <c r="F763" s="69" t="s">
        <v>120</v>
      </c>
      <c r="G763" s="69" t="s">
        <v>142</v>
      </c>
      <c r="H763" s="69" t="s">
        <v>137</v>
      </c>
      <c r="I763" s="69" t="s">
        <v>118</v>
      </c>
      <c r="J763" s="72">
        <v>52</v>
      </c>
    </row>
    <row r="764" spans="1:10" ht="15" customHeight="1">
      <c r="A764" s="70">
        <v>44035</v>
      </c>
      <c r="B764" s="69" t="s">
        <v>838</v>
      </c>
      <c r="C764" s="69" t="s">
        <v>116</v>
      </c>
      <c r="D764" s="71">
        <v>0</v>
      </c>
      <c r="E764" s="69" t="s">
        <v>104</v>
      </c>
      <c r="F764" s="69" t="s">
        <v>105</v>
      </c>
      <c r="G764" s="69" t="s">
        <v>105</v>
      </c>
      <c r="H764" s="69" t="s">
        <v>128</v>
      </c>
      <c r="I764" s="69" t="s">
        <v>107</v>
      </c>
      <c r="J764" s="72">
        <v>400</v>
      </c>
    </row>
    <row r="765" spans="1:10" ht="15" customHeight="1">
      <c r="A765" s="70">
        <v>44035</v>
      </c>
      <c r="B765" s="69" t="s">
        <v>839</v>
      </c>
      <c r="C765" s="69" t="s">
        <v>103</v>
      </c>
      <c r="D765" s="71">
        <v>1</v>
      </c>
      <c r="E765" s="69" t="s">
        <v>104</v>
      </c>
      <c r="F765" s="69" t="s">
        <v>105</v>
      </c>
      <c r="G765" s="69" t="s">
        <v>105</v>
      </c>
      <c r="H765" s="69" t="s">
        <v>145</v>
      </c>
      <c r="I765" s="69" t="s">
        <v>114</v>
      </c>
      <c r="J765" s="72">
        <v>400</v>
      </c>
    </row>
    <row r="766" spans="1:10" ht="15" customHeight="1">
      <c r="A766" s="70">
        <v>44035</v>
      </c>
      <c r="B766" s="69" t="s">
        <v>840</v>
      </c>
      <c r="C766" s="69" t="s">
        <v>116</v>
      </c>
      <c r="D766" s="71">
        <v>22</v>
      </c>
      <c r="E766" s="69" t="s">
        <v>113</v>
      </c>
      <c r="F766" s="69" t="s">
        <v>105</v>
      </c>
      <c r="G766" s="69" t="s">
        <v>105</v>
      </c>
      <c r="H766" s="69" t="s">
        <v>106</v>
      </c>
      <c r="I766" s="69" t="s">
        <v>111</v>
      </c>
      <c r="J766" s="72">
        <v>400</v>
      </c>
    </row>
    <row r="767" spans="1:10" ht="15" customHeight="1">
      <c r="A767" s="70">
        <v>44035</v>
      </c>
      <c r="B767" s="69" t="s">
        <v>841</v>
      </c>
      <c r="C767" s="69" t="s">
        <v>103</v>
      </c>
      <c r="D767" s="71">
        <v>24</v>
      </c>
      <c r="E767" s="69" t="s">
        <v>113</v>
      </c>
      <c r="F767" s="69" t="s">
        <v>105</v>
      </c>
      <c r="G767" s="69" t="s">
        <v>105</v>
      </c>
      <c r="H767" s="69" t="s">
        <v>131</v>
      </c>
      <c r="I767" s="69" t="s">
        <v>114</v>
      </c>
      <c r="J767" s="72">
        <v>400</v>
      </c>
    </row>
    <row r="768" spans="1:10" ht="15" customHeight="1">
      <c r="A768" s="70">
        <v>44036</v>
      </c>
      <c r="B768" s="69" t="s">
        <v>842</v>
      </c>
      <c r="C768" s="69" t="s">
        <v>116</v>
      </c>
      <c r="D768" s="71">
        <v>27</v>
      </c>
      <c r="E768" s="69" t="s">
        <v>113</v>
      </c>
      <c r="F768" s="69" t="s">
        <v>105</v>
      </c>
      <c r="G768" s="69" t="s">
        <v>105</v>
      </c>
      <c r="H768" s="69" t="s">
        <v>128</v>
      </c>
      <c r="I768" s="69" t="s">
        <v>118</v>
      </c>
      <c r="J768" s="72">
        <v>400</v>
      </c>
    </row>
    <row r="769" spans="1:10" ht="15" customHeight="1">
      <c r="A769" s="70">
        <v>44036</v>
      </c>
      <c r="B769" s="69" t="s">
        <v>843</v>
      </c>
      <c r="C769" s="69" t="s">
        <v>116</v>
      </c>
      <c r="D769" s="71">
        <v>20</v>
      </c>
      <c r="E769" s="69" t="s">
        <v>109</v>
      </c>
      <c r="F769" s="69" t="s">
        <v>105</v>
      </c>
      <c r="G769" s="69" t="s">
        <v>105</v>
      </c>
      <c r="H769" s="69" t="s">
        <v>110</v>
      </c>
      <c r="I769" s="69" t="s">
        <v>107</v>
      </c>
      <c r="J769" s="72">
        <v>400</v>
      </c>
    </row>
    <row r="770" spans="1:10" ht="15" customHeight="1">
      <c r="A770" s="70">
        <v>44036</v>
      </c>
      <c r="B770" s="69" t="s">
        <v>143</v>
      </c>
      <c r="C770" s="69" t="s">
        <v>103</v>
      </c>
      <c r="D770" s="71">
        <v>43</v>
      </c>
      <c r="E770" s="69" t="s">
        <v>109</v>
      </c>
      <c r="F770" s="69" t="s">
        <v>120</v>
      </c>
      <c r="G770" s="69" t="s">
        <v>121</v>
      </c>
      <c r="H770" s="69" t="s">
        <v>110</v>
      </c>
      <c r="I770" s="69" t="s">
        <v>107</v>
      </c>
      <c r="J770" s="72">
        <v>78</v>
      </c>
    </row>
    <row r="771" spans="1:10" ht="15" customHeight="1">
      <c r="A771" s="70">
        <v>44036</v>
      </c>
      <c r="B771" s="69" t="s">
        <v>844</v>
      </c>
      <c r="C771" s="69" t="s">
        <v>116</v>
      </c>
      <c r="D771" s="71">
        <v>62</v>
      </c>
      <c r="E771" s="69" t="s">
        <v>113</v>
      </c>
      <c r="F771" s="69" t="s">
        <v>120</v>
      </c>
      <c r="G771" s="69" t="s">
        <v>125</v>
      </c>
      <c r="H771" s="69" t="s">
        <v>131</v>
      </c>
      <c r="I771" s="69" t="s">
        <v>118</v>
      </c>
      <c r="J771" s="72">
        <v>65</v>
      </c>
    </row>
    <row r="772" spans="1:10" ht="15" customHeight="1">
      <c r="A772" s="70">
        <v>44037</v>
      </c>
      <c r="B772" s="69" t="s">
        <v>845</v>
      </c>
      <c r="C772" s="69" t="s">
        <v>116</v>
      </c>
      <c r="D772" s="71">
        <v>71</v>
      </c>
      <c r="E772" s="69" t="s">
        <v>113</v>
      </c>
      <c r="F772" s="69" t="s">
        <v>120</v>
      </c>
      <c r="G772" s="69" t="s">
        <v>121</v>
      </c>
      <c r="H772" s="69" t="s">
        <v>137</v>
      </c>
      <c r="I772" s="69" t="s">
        <v>118</v>
      </c>
      <c r="J772" s="72">
        <v>78</v>
      </c>
    </row>
    <row r="773" spans="1:10" ht="15" customHeight="1">
      <c r="A773" s="70">
        <v>44037</v>
      </c>
      <c r="B773" s="69" t="s">
        <v>846</v>
      </c>
      <c r="C773" s="69" t="s">
        <v>116</v>
      </c>
      <c r="D773" s="71">
        <v>20</v>
      </c>
      <c r="E773" s="69" t="s">
        <v>109</v>
      </c>
      <c r="F773" s="69" t="s">
        <v>105</v>
      </c>
      <c r="G773" s="69" t="s">
        <v>105</v>
      </c>
      <c r="H773" s="69" t="s">
        <v>137</v>
      </c>
      <c r="I773" s="69" t="s">
        <v>111</v>
      </c>
      <c r="J773" s="72">
        <v>400</v>
      </c>
    </row>
    <row r="774" spans="1:10" ht="15" customHeight="1">
      <c r="A774" s="70">
        <v>44038</v>
      </c>
      <c r="B774" s="69" t="s">
        <v>847</v>
      </c>
      <c r="C774" s="69" t="s">
        <v>116</v>
      </c>
      <c r="D774" s="71">
        <v>67</v>
      </c>
      <c r="E774" s="69" t="s">
        <v>109</v>
      </c>
      <c r="F774" s="69" t="s">
        <v>105</v>
      </c>
      <c r="G774" s="69" t="s">
        <v>105</v>
      </c>
      <c r="H774" s="69" t="s">
        <v>117</v>
      </c>
      <c r="I774" s="69" t="s">
        <v>107</v>
      </c>
      <c r="J774" s="72">
        <v>400</v>
      </c>
    </row>
    <row r="775" spans="1:10" ht="15" customHeight="1">
      <c r="A775" s="70">
        <v>44038</v>
      </c>
      <c r="B775" s="69" t="s">
        <v>381</v>
      </c>
      <c r="C775" s="69" t="s">
        <v>103</v>
      </c>
      <c r="D775" s="71">
        <v>33</v>
      </c>
      <c r="E775" s="69" t="s">
        <v>104</v>
      </c>
      <c r="F775" s="69" t="s">
        <v>105</v>
      </c>
      <c r="G775" s="69" t="s">
        <v>105</v>
      </c>
      <c r="H775" s="69" t="s">
        <v>106</v>
      </c>
      <c r="I775" s="69" t="s">
        <v>118</v>
      </c>
      <c r="J775" s="72">
        <v>400</v>
      </c>
    </row>
    <row r="776" spans="1:10" ht="15" customHeight="1">
      <c r="A776" s="70">
        <v>44039</v>
      </c>
      <c r="B776" s="69" t="s">
        <v>848</v>
      </c>
      <c r="C776" s="69" t="s">
        <v>103</v>
      </c>
      <c r="D776" s="71">
        <v>13</v>
      </c>
      <c r="E776" s="69" t="s">
        <v>113</v>
      </c>
      <c r="F776" s="69" t="s">
        <v>105</v>
      </c>
      <c r="G776" s="69" t="s">
        <v>105</v>
      </c>
      <c r="H776" s="69" t="s">
        <v>106</v>
      </c>
      <c r="I776" s="69" t="s">
        <v>114</v>
      </c>
      <c r="J776" s="72">
        <v>400</v>
      </c>
    </row>
    <row r="777" spans="1:10" ht="15" customHeight="1">
      <c r="A777" s="70">
        <v>44039</v>
      </c>
      <c r="B777" s="69" t="s">
        <v>849</v>
      </c>
      <c r="C777" s="69" t="s">
        <v>116</v>
      </c>
      <c r="D777" s="71">
        <v>16</v>
      </c>
      <c r="E777" s="69" t="s">
        <v>113</v>
      </c>
      <c r="F777" s="69" t="s">
        <v>105</v>
      </c>
      <c r="G777" s="69" t="s">
        <v>105</v>
      </c>
      <c r="H777" s="69" t="s">
        <v>128</v>
      </c>
      <c r="I777" s="69" t="s">
        <v>107</v>
      </c>
      <c r="J777" s="72">
        <v>400</v>
      </c>
    </row>
    <row r="778" spans="1:10" ht="15" customHeight="1">
      <c r="A778" s="70">
        <v>44039</v>
      </c>
      <c r="B778" s="69" t="s">
        <v>850</v>
      </c>
      <c r="C778" s="69" t="s">
        <v>116</v>
      </c>
      <c r="D778" s="71">
        <v>31</v>
      </c>
      <c r="E778" s="69" t="s">
        <v>104</v>
      </c>
      <c r="F778" s="69" t="s">
        <v>120</v>
      </c>
      <c r="G778" s="69" t="s">
        <v>121</v>
      </c>
      <c r="H778" s="69" t="s">
        <v>106</v>
      </c>
      <c r="I778" s="69" t="s">
        <v>114</v>
      </c>
      <c r="J778" s="72">
        <v>78</v>
      </c>
    </row>
    <row r="779" spans="1:10" ht="15" customHeight="1">
      <c r="A779" s="70">
        <v>44039</v>
      </c>
      <c r="B779" s="69" t="s">
        <v>851</v>
      </c>
      <c r="C779" s="69" t="s">
        <v>116</v>
      </c>
      <c r="D779" s="71">
        <v>13</v>
      </c>
      <c r="E779" s="69" t="s">
        <v>113</v>
      </c>
      <c r="F779" s="69" t="s">
        <v>105</v>
      </c>
      <c r="G779" s="69" t="s">
        <v>105</v>
      </c>
      <c r="H779" s="69" t="s">
        <v>137</v>
      </c>
      <c r="I779" s="69" t="s">
        <v>114</v>
      </c>
      <c r="J779" s="72">
        <v>400</v>
      </c>
    </row>
    <row r="780" spans="1:10" ht="15" customHeight="1">
      <c r="A780" s="70">
        <v>44039</v>
      </c>
      <c r="B780" s="69" t="s">
        <v>852</v>
      </c>
      <c r="C780" s="69" t="s">
        <v>103</v>
      </c>
      <c r="D780" s="71">
        <v>69</v>
      </c>
      <c r="E780" s="69" t="s">
        <v>139</v>
      </c>
      <c r="F780" s="69" t="s">
        <v>105</v>
      </c>
      <c r="G780" s="69" t="s">
        <v>105</v>
      </c>
      <c r="H780" s="69" t="s">
        <v>128</v>
      </c>
      <c r="I780" s="69" t="s">
        <v>129</v>
      </c>
      <c r="J780" s="72">
        <v>400</v>
      </c>
    </row>
    <row r="781" spans="1:10" ht="15" customHeight="1">
      <c r="A781" s="70">
        <v>44040</v>
      </c>
      <c r="B781" s="69" t="s">
        <v>853</v>
      </c>
      <c r="C781" s="69" t="s">
        <v>116</v>
      </c>
      <c r="D781" s="71">
        <v>41</v>
      </c>
      <c r="E781" s="69" t="s">
        <v>113</v>
      </c>
      <c r="F781" s="69" t="s">
        <v>105</v>
      </c>
      <c r="G781" s="69" t="s">
        <v>105</v>
      </c>
      <c r="H781" s="69" t="s">
        <v>126</v>
      </c>
      <c r="I781" s="69" t="s">
        <v>114</v>
      </c>
      <c r="J781" s="72">
        <v>400</v>
      </c>
    </row>
    <row r="782" spans="1:10" ht="15" customHeight="1">
      <c r="A782" s="70">
        <v>44040</v>
      </c>
      <c r="B782" s="69" t="s">
        <v>854</v>
      </c>
      <c r="C782" s="69" t="s">
        <v>103</v>
      </c>
      <c r="D782" s="71">
        <v>27</v>
      </c>
      <c r="E782" s="69" t="s">
        <v>109</v>
      </c>
      <c r="F782" s="69" t="s">
        <v>120</v>
      </c>
      <c r="G782" s="69" t="s">
        <v>121</v>
      </c>
      <c r="H782" s="69" t="s">
        <v>110</v>
      </c>
      <c r="I782" s="69" t="s">
        <v>159</v>
      </c>
      <c r="J782" s="72">
        <v>78</v>
      </c>
    </row>
    <row r="783" spans="1:10" ht="15" customHeight="1">
      <c r="A783" s="70">
        <v>44040</v>
      </c>
      <c r="B783" s="69" t="s">
        <v>855</v>
      </c>
      <c r="C783" s="69" t="s">
        <v>103</v>
      </c>
      <c r="D783" s="71">
        <v>65</v>
      </c>
      <c r="E783" s="69" t="s">
        <v>109</v>
      </c>
      <c r="F783" s="69" t="s">
        <v>105</v>
      </c>
      <c r="G783" s="69" t="s">
        <v>105</v>
      </c>
      <c r="H783" s="69" t="s">
        <v>131</v>
      </c>
      <c r="I783" s="69" t="s">
        <v>114</v>
      </c>
      <c r="J783" s="72">
        <v>400</v>
      </c>
    </row>
    <row r="784" spans="1:10" ht="15" customHeight="1">
      <c r="A784" s="70">
        <v>44040</v>
      </c>
      <c r="B784" s="69" t="s">
        <v>856</v>
      </c>
      <c r="C784" s="69" t="s">
        <v>116</v>
      </c>
      <c r="D784" s="71">
        <v>55</v>
      </c>
      <c r="E784" s="69" t="s">
        <v>139</v>
      </c>
      <c r="F784" s="69" t="s">
        <v>120</v>
      </c>
      <c r="G784" s="69" t="s">
        <v>125</v>
      </c>
      <c r="H784" s="69" t="s">
        <v>128</v>
      </c>
      <c r="I784" s="69" t="s">
        <v>114</v>
      </c>
      <c r="J784" s="72">
        <v>65</v>
      </c>
    </row>
    <row r="785" spans="1:10" ht="15" customHeight="1">
      <c r="A785" s="70">
        <v>44041</v>
      </c>
      <c r="B785" s="69" t="s">
        <v>857</v>
      </c>
      <c r="C785" s="69" t="s">
        <v>103</v>
      </c>
      <c r="D785" s="71">
        <v>36</v>
      </c>
      <c r="E785" s="69" t="s">
        <v>109</v>
      </c>
      <c r="F785" s="69" t="s">
        <v>105</v>
      </c>
      <c r="G785" s="69" t="s">
        <v>105</v>
      </c>
      <c r="H785" s="69" t="s">
        <v>145</v>
      </c>
      <c r="I785" s="69" t="s">
        <v>111</v>
      </c>
      <c r="J785" s="72">
        <v>400</v>
      </c>
    </row>
    <row r="786" spans="1:10" ht="15" customHeight="1">
      <c r="A786" s="70">
        <v>44041</v>
      </c>
      <c r="B786" s="69" t="s">
        <v>858</v>
      </c>
      <c r="C786" s="69" t="s">
        <v>116</v>
      </c>
      <c r="D786" s="71">
        <v>68</v>
      </c>
      <c r="E786" s="69" t="s">
        <v>104</v>
      </c>
      <c r="F786" s="69" t="s">
        <v>105</v>
      </c>
      <c r="G786" s="69" t="s">
        <v>105</v>
      </c>
      <c r="H786" s="69" t="s">
        <v>131</v>
      </c>
      <c r="I786" s="69" t="s">
        <v>107</v>
      </c>
      <c r="J786" s="72">
        <v>400</v>
      </c>
    </row>
    <row r="787" spans="1:10" ht="15" customHeight="1">
      <c r="A787" s="70">
        <v>44042</v>
      </c>
      <c r="B787" s="69" t="s">
        <v>132</v>
      </c>
      <c r="C787" s="69" t="s">
        <v>116</v>
      </c>
      <c r="D787" s="71">
        <v>48</v>
      </c>
      <c r="E787" s="69" t="s">
        <v>139</v>
      </c>
      <c r="F787" s="69" t="s">
        <v>120</v>
      </c>
      <c r="G787" s="69" t="s">
        <v>121</v>
      </c>
      <c r="H787" s="69" t="s">
        <v>131</v>
      </c>
      <c r="I787" s="69" t="s">
        <v>111</v>
      </c>
      <c r="J787" s="72">
        <v>78</v>
      </c>
    </row>
    <row r="788" spans="1:10" ht="15" customHeight="1">
      <c r="A788" s="70">
        <v>44042</v>
      </c>
      <c r="B788" s="69" t="s">
        <v>859</v>
      </c>
      <c r="C788" s="69" t="s">
        <v>103</v>
      </c>
      <c r="D788" s="71">
        <v>6</v>
      </c>
      <c r="E788" s="69" t="s">
        <v>139</v>
      </c>
      <c r="F788" s="69" t="s">
        <v>120</v>
      </c>
      <c r="G788" s="69" t="s">
        <v>123</v>
      </c>
      <c r="H788" s="69" t="s">
        <v>117</v>
      </c>
      <c r="I788" s="69" t="s">
        <v>111</v>
      </c>
      <c r="J788" s="72">
        <v>90</v>
      </c>
    </row>
    <row r="789" spans="1:10" ht="15" customHeight="1">
      <c r="A789" s="70">
        <v>44042</v>
      </c>
      <c r="B789" s="69" t="s">
        <v>860</v>
      </c>
      <c r="C789" s="69" t="s">
        <v>116</v>
      </c>
      <c r="D789" s="71">
        <v>70</v>
      </c>
      <c r="E789" s="69" t="s">
        <v>113</v>
      </c>
      <c r="F789" s="69" t="s">
        <v>105</v>
      </c>
      <c r="G789" s="69" t="s">
        <v>105</v>
      </c>
      <c r="H789" s="69" t="s">
        <v>117</v>
      </c>
      <c r="I789" s="69" t="s">
        <v>118</v>
      </c>
      <c r="J789" s="72">
        <v>400</v>
      </c>
    </row>
    <row r="790" spans="1:10" ht="15" customHeight="1">
      <c r="A790" s="70">
        <v>44042</v>
      </c>
      <c r="B790" s="69" t="s">
        <v>861</v>
      </c>
      <c r="C790" s="69" t="s">
        <v>103</v>
      </c>
      <c r="D790" s="71">
        <v>1</v>
      </c>
      <c r="E790" s="69" t="s">
        <v>139</v>
      </c>
      <c r="F790" s="69" t="s">
        <v>120</v>
      </c>
      <c r="G790" s="69" t="s">
        <v>121</v>
      </c>
      <c r="H790" s="69" t="s">
        <v>137</v>
      </c>
      <c r="I790" s="69" t="s">
        <v>111</v>
      </c>
      <c r="J790" s="72">
        <v>78</v>
      </c>
    </row>
    <row r="791" spans="1:10" ht="15" customHeight="1">
      <c r="A791" s="70">
        <v>44042</v>
      </c>
      <c r="B791" s="69" t="s">
        <v>862</v>
      </c>
      <c r="C791" s="69" t="s">
        <v>116</v>
      </c>
      <c r="D791" s="71">
        <v>45</v>
      </c>
      <c r="E791" s="69" t="s">
        <v>113</v>
      </c>
      <c r="F791" s="69" t="s">
        <v>105</v>
      </c>
      <c r="G791" s="69" t="s">
        <v>105</v>
      </c>
      <c r="H791" s="69" t="s">
        <v>137</v>
      </c>
      <c r="I791" s="69" t="s">
        <v>118</v>
      </c>
      <c r="J791" s="72">
        <v>400</v>
      </c>
    </row>
    <row r="792" spans="1:10" ht="15" customHeight="1">
      <c r="A792" s="70">
        <v>44043</v>
      </c>
      <c r="B792" s="69" t="s">
        <v>179</v>
      </c>
      <c r="C792" s="69" t="s">
        <v>116</v>
      </c>
      <c r="D792" s="71">
        <v>62</v>
      </c>
      <c r="E792" s="69" t="s">
        <v>113</v>
      </c>
      <c r="F792" s="69" t="s">
        <v>120</v>
      </c>
      <c r="G792" s="69" t="s">
        <v>142</v>
      </c>
      <c r="H792" s="69" t="s">
        <v>128</v>
      </c>
      <c r="I792" s="69" t="s">
        <v>111</v>
      </c>
      <c r="J792" s="72">
        <v>52</v>
      </c>
    </row>
    <row r="793" spans="1:10" ht="15" customHeight="1">
      <c r="A793" s="70">
        <v>44044</v>
      </c>
      <c r="B793" s="69" t="s">
        <v>863</v>
      </c>
      <c r="C793" s="69" t="s">
        <v>116</v>
      </c>
      <c r="D793" s="71">
        <v>51</v>
      </c>
      <c r="E793" s="69" t="s">
        <v>139</v>
      </c>
      <c r="F793" s="69" t="s">
        <v>120</v>
      </c>
      <c r="G793" s="69" t="s">
        <v>125</v>
      </c>
      <c r="H793" s="69" t="s">
        <v>106</v>
      </c>
      <c r="I793" s="69" t="s">
        <v>107</v>
      </c>
      <c r="J793" s="72">
        <v>65</v>
      </c>
    </row>
    <row r="794" spans="1:10" ht="15" customHeight="1">
      <c r="A794" s="70">
        <v>44044</v>
      </c>
      <c r="B794" s="69" t="s">
        <v>864</v>
      </c>
      <c r="C794" s="69" t="s">
        <v>103</v>
      </c>
      <c r="D794" s="71">
        <v>49</v>
      </c>
      <c r="E794" s="69" t="s">
        <v>109</v>
      </c>
      <c r="F794" s="69" t="s">
        <v>105</v>
      </c>
      <c r="G794" s="69" t="s">
        <v>105</v>
      </c>
      <c r="H794" s="69" t="s">
        <v>137</v>
      </c>
      <c r="I794" s="69" t="s">
        <v>114</v>
      </c>
      <c r="J794" s="72">
        <v>400</v>
      </c>
    </row>
    <row r="795" spans="1:10" ht="15" customHeight="1">
      <c r="A795" s="70">
        <v>44044</v>
      </c>
      <c r="B795" s="69" t="s">
        <v>865</v>
      </c>
      <c r="C795" s="69" t="s">
        <v>103</v>
      </c>
      <c r="D795" s="71">
        <v>5</v>
      </c>
      <c r="E795" s="69" t="s">
        <v>113</v>
      </c>
      <c r="F795" s="69" t="s">
        <v>105</v>
      </c>
      <c r="G795" s="69" t="s">
        <v>105</v>
      </c>
      <c r="H795" s="69" t="s">
        <v>106</v>
      </c>
      <c r="I795" s="69" t="s">
        <v>114</v>
      </c>
      <c r="J795" s="72">
        <v>400</v>
      </c>
    </row>
    <row r="796" spans="1:10" ht="15" customHeight="1">
      <c r="A796" s="70">
        <v>44044</v>
      </c>
      <c r="B796" s="69" t="s">
        <v>866</v>
      </c>
      <c r="C796" s="69" t="s">
        <v>103</v>
      </c>
      <c r="D796" s="71">
        <v>22</v>
      </c>
      <c r="E796" s="69" t="s">
        <v>139</v>
      </c>
      <c r="F796" s="69" t="s">
        <v>105</v>
      </c>
      <c r="G796" s="69" t="s">
        <v>105</v>
      </c>
      <c r="H796" s="69" t="s">
        <v>131</v>
      </c>
      <c r="I796" s="69" t="s">
        <v>129</v>
      </c>
      <c r="J796" s="72">
        <v>400</v>
      </c>
    </row>
    <row r="797" spans="1:10" ht="15" customHeight="1">
      <c r="A797" s="70">
        <v>44045</v>
      </c>
      <c r="B797" s="69" t="s">
        <v>867</v>
      </c>
      <c r="C797" s="69" t="s">
        <v>116</v>
      </c>
      <c r="D797" s="71">
        <v>68</v>
      </c>
      <c r="E797" s="69" t="s">
        <v>113</v>
      </c>
      <c r="F797" s="69" t="s">
        <v>120</v>
      </c>
      <c r="G797" s="69" t="s">
        <v>142</v>
      </c>
      <c r="H797" s="69" t="s">
        <v>106</v>
      </c>
      <c r="I797" s="69" t="s">
        <v>111</v>
      </c>
      <c r="J797" s="72">
        <v>52</v>
      </c>
    </row>
    <row r="798" spans="1:10" ht="15" customHeight="1">
      <c r="A798" s="70">
        <v>44045</v>
      </c>
      <c r="B798" s="69" t="s">
        <v>868</v>
      </c>
      <c r="C798" s="69" t="s">
        <v>116</v>
      </c>
      <c r="D798" s="71">
        <v>59</v>
      </c>
      <c r="E798" s="69" t="s">
        <v>109</v>
      </c>
      <c r="F798" s="69" t="s">
        <v>105</v>
      </c>
      <c r="G798" s="69" t="s">
        <v>105</v>
      </c>
      <c r="H798" s="69" t="s">
        <v>126</v>
      </c>
      <c r="I798" s="69" t="s">
        <v>118</v>
      </c>
      <c r="J798" s="72">
        <v>400</v>
      </c>
    </row>
    <row r="799" spans="1:10" ht="15" customHeight="1">
      <c r="A799" s="70">
        <v>44045</v>
      </c>
      <c r="B799" s="69" t="s">
        <v>869</v>
      </c>
      <c r="C799" s="69" t="s">
        <v>116</v>
      </c>
      <c r="D799" s="71">
        <v>49</v>
      </c>
      <c r="E799" s="69" t="s">
        <v>113</v>
      </c>
      <c r="F799" s="69" t="s">
        <v>105</v>
      </c>
      <c r="G799" s="69" t="s">
        <v>105</v>
      </c>
      <c r="H799" s="69" t="s">
        <v>131</v>
      </c>
      <c r="I799" s="69" t="s">
        <v>118</v>
      </c>
      <c r="J799" s="72">
        <v>400</v>
      </c>
    </row>
    <row r="800" spans="1:10" ht="15" customHeight="1">
      <c r="A800" s="70">
        <v>44046</v>
      </c>
      <c r="B800" s="69" t="s">
        <v>870</v>
      </c>
      <c r="C800" s="69" t="s">
        <v>103</v>
      </c>
      <c r="D800" s="71">
        <v>49</v>
      </c>
      <c r="E800" s="69" t="s">
        <v>104</v>
      </c>
      <c r="F800" s="69" t="s">
        <v>105</v>
      </c>
      <c r="G800" s="69" t="s">
        <v>105</v>
      </c>
      <c r="H800" s="69" t="s">
        <v>137</v>
      </c>
      <c r="I800" s="69" t="s">
        <v>111</v>
      </c>
      <c r="J800" s="72">
        <v>400</v>
      </c>
    </row>
    <row r="801" spans="1:10" ht="15" customHeight="1">
      <c r="A801" s="70">
        <v>44046</v>
      </c>
      <c r="B801" s="69" t="s">
        <v>268</v>
      </c>
      <c r="C801" s="69" t="s">
        <v>116</v>
      </c>
      <c r="D801" s="71">
        <v>20</v>
      </c>
      <c r="E801" s="69" t="s">
        <v>104</v>
      </c>
      <c r="F801" s="69" t="s">
        <v>120</v>
      </c>
      <c r="G801" s="69" t="s">
        <v>142</v>
      </c>
      <c r="H801" s="69" t="s">
        <v>117</v>
      </c>
      <c r="I801" s="69" t="s">
        <v>111</v>
      </c>
      <c r="J801" s="72">
        <v>52</v>
      </c>
    </row>
    <row r="802" spans="1:10" ht="15" customHeight="1">
      <c r="A802" s="70">
        <v>44046</v>
      </c>
      <c r="B802" s="69" t="s">
        <v>871</v>
      </c>
      <c r="C802" s="69" t="s">
        <v>103</v>
      </c>
      <c r="D802" s="71">
        <v>74</v>
      </c>
      <c r="E802" s="69" t="s">
        <v>109</v>
      </c>
      <c r="F802" s="69" t="s">
        <v>105</v>
      </c>
      <c r="G802" s="69" t="s">
        <v>105</v>
      </c>
      <c r="H802" s="69" t="s">
        <v>137</v>
      </c>
      <c r="I802" s="69" t="s">
        <v>107</v>
      </c>
      <c r="J802" s="72">
        <v>400</v>
      </c>
    </row>
    <row r="803" spans="1:10" ht="15" customHeight="1">
      <c r="A803" s="70">
        <v>44046</v>
      </c>
      <c r="B803" s="69" t="s">
        <v>872</v>
      </c>
      <c r="C803" s="69" t="s">
        <v>116</v>
      </c>
      <c r="D803" s="71">
        <v>50</v>
      </c>
      <c r="E803" s="69" t="s">
        <v>109</v>
      </c>
      <c r="F803" s="69" t="s">
        <v>105</v>
      </c>
      <c r="G803" s="69" t="s">
        <v>105</v>
      </c>
      <c r="H803" s="69" t="s">
        <v>128</v>
      </c>
      <c r="I803" s="69" t="s">
        <v>118</v>
      </c>
      <c r="J803" s="72">
        <v>400</v>
      </c>
    </row>
    <row r="804" spans="1:10" ht="15" customHeight="1">
      <c r="A804" s="70">
        <v>44046</v>
      </c>
      <c r="B804" s="69" t="s">
        <v>873</v>
      </c>
      <c r="C804" s="69" t="s">
        <v>116</v>
      </c>
      <c r="D804" s="71">
        <v>27</v>
      </c>
      <c r="E804" s="69" t="s">
        <v>113</v>
      </c>
      <c r="F804" s="69" t="s">
        <v>120</v>
      </c>
      <c r="G804" s="69" t="s">
        <v>121</v>
      </c>
      <c r="H804" s="69" t="s">
        <v>128</v>
      </c>
      <c r="I804" s="69" t="s">
        <v>107</v>
      </c>
      <c r="J804" s="72">
        <v>78</v>
      </c>
    </row>
    <row r="805" spans="1:10" ht="15" customHeight="1">
      <c r="A805" s="70">
        <v>44047</v>
      </c>
      <c r="B805" s="69" t="s">
        <v>874</v>
      </c>
      <c r="C805" s="69" t="s">
        <v>116</v>
      </c>
      <c r="D805" s="71">
        <v>17</v>
      </c>
      <c r="E805" s="69" t="s">
        <v>139</v>
      </c>
      <c r="F805" s="69" t="s">
        <v>105</v>
      </c>
      <c r="G805" s="69" t="s">
        <v>105</v>
      </c>
      <c r="H805" s="69" t="s">
        <v>106</v>
      </c>
      <c r="I805" s="69" t="s">
        <v>114</v>
      </c>
      <c r="J805" s="72">
        <v>400</v>
      </c>
    </row>
    <row r="806" spans="1:10" ht="15" customHeight="1">
      <c r="A806" s="70">
        <v>44047</v>
      </c>
      <c r="B806" s="69" t="s">
        <v>875</v>
      </c>
      <c r="C806" s="69" t="s">
        <v>116</v>
      </c>
      <c r="D806" s="71">
        <v>13</v>
      </c>
      <c r="E806" s="69" t="s">
        <v>139</v>
      </c>
      <c r="F806" s="69" t="s">
        <v>120</v>
      </c>
      <c r="G806" s="69" t="s">
        <v>121</v>
      </c>
      <c r="H806" s="69" t="s">
        <v>145</v>
      </c>
      <c r="I806" s="69" t="s">
        <v>118</v>
      </c>
      <c r="J806" s="72">
        <v>78</v>
      </c>
    </row>
    <row r="807" spans="1:10" ht="15" customHeight="1">
      <c r="A807" s="70">
        <v>44047</v>
      </c>
      <c r="B807" s="69" t="s">
        <v>876</v>
      </c>
      <c r="C807" s="69" t="s">
        <v>116</v>
      </c>
      <c r="D807" s="71">
        <v>14</v>
      </c>
      <c r="E807" s="69" t="s">
        <v>104</v>
      </c>
      <c r="F807" s="69" t="s">
        <v>105</v>
      </c>
      <c r="G807" s="69" t="s">
        <v>105</v>
      </c>
      <c r="H807" s="69" t="s">
        <v>117</v>
      </c>
      <c r="I807" s="69" t="s">
        <v>107</v>
      </c>
      <c r="J807" s="72">
        <v>400</v>
      </c>
    </row>
    <row r="808" spans="1:10" ht="15" customHeight="1">
      <c r="A808" s="70">
        <v>44048</v>
      </c>
      <c r="B808" s="69" t="s">
        <v>511</v>
      </c>
      <c r="C808" s="69" t="s">
        <v>116</v>
      </c>
      <c r="D808" s="71">
        <v>19</v>
      </c>
      <c r="E808" s="69" t="s">
        <v>113</v>
      </c>
      <c r="F808" s="69" t="s">
        <v>105</v>
      </c>
      <c r="G808" s="69" t="s">
        <v>105</v>
      </c>
      <c r="H808" s="69" t="s">
        <v>117</v>
      </c>
      <c r="I808" s="69" t="s">
        <v>118</v>
      </c>
      <c r="J808" s="72">
        <v>400</v>
      </c>
    </row>
    <row r="809" spans="1:10" ht="15" customHeight="1">
      <c r="A809" s="70">
        <v>44048</v>
      </c>
      <c r="B809" s="69" t="s">
        <v>877</v>
      </c>
      <c r="C809" s="69" t="s">
        <v>116</v>
      </c>
      <c r="D809" s="71">
        <v>7</v>
      </c>
      <c r="E809" s="69" t="s">
        <v>104</v>
      </c>
      <c r="F809" s="69" t="s">
        <v>120</v>
      </c>
      <c r="G809" s="69" t="s">
        <v>121</v>
      </c>
      <c r="H809" s="69" t="s">
        <v>131</v>
      </c>
      <c r="I809" s="69" t="s">
        <v>118</v>
      </c>
      <c r="J809" s="72">
        <v>78</v>
      </c>
    </row>
    <row r="810" spans="1:10" ht="15" customHeight="1">
      <c r="A810" s="70">
        <v>44048</v>
      </c>
      <c r="B810" s="69" t="s">
        <v>878</v>
      </c>
      <c r="C810" s="69" t="s">
        <v>103</v>
      </c>
      <c r="D810" s="71">
        <v>24</v>
      </c>
      <c r="E810" s="69" t="s">
        <v>109</v>
      </c>
      <c r="F810" s="69" t="s">
        <v>105</v>
      </c>
      <c r="G810" s="69" t="s">
        <v>105</v>
      </c>
      <c r="H810" s="69" t="s">
        <v>110</v>
      </c>
      <c r="I810" s="69" t="s">
        <v>129</v>
      </c>
      <c r="J810" s="72">
        <v>400</v>
      </c>
    </row>
    <row r="811" spans="1:10" ht="15" customHeight="1">
      <c r="A811" s="70">
        <v>44049</v>
      </c>
      <c r="B811" s="69" t="s">
        <v>879</v>
      </c>
      <c r="C811" s="69" t="s">
        <v>103</v>
      </c>
      <c r="D811" s="71">
        <v>4</v>
      </c>
      <c r="E811" s="69" t="s">
        <v>104</v>
      </c>
      <c r="F811" s="69" t="s">
        <v>105</v>
      </c>
      <c r="G811" s="69" t="s">
        <v>105</v>
      </c>
      <c r="H811" s="69" t="s">
        <v>106</v>
      </c>
      <c r="I811" s="69" t="s">
        <v>114</v>
      </c>
      <c r="J811" s="72">
        <v>400</v>
      </c>
    </row>
    <row r="812" spans="1:10" ht="15" customHeight="1">
      <c r="A812" s="70">
        <v>44049</v>
      </c>
      <c r="B812" s="69" t="s">
        <v>880</v>
      </c>
      <c r="C812" s="69" t="s">
        <v>116</v>
      </c>
      <c r="D812" s="71">
        <v>28</v>
      </c>
      <c r="E812" s="69" t="s">
        <v>109</v>
      </c>
      <c r="F812" s="69" t="s">
        <v>105</v>
      </c>
      <c r="G812" s="69" t="s">
        <v>105</v>
      </c>
      <c r="H812" s="69" t="s">
        <v>110</v>
      </c>
      <c r="I812" s="69" t="s">
        <v>107</v>
      </c>
      <c r="J812" s="72">
        <v>400</v>
      </c>
    </row>
    <row r="813" spans="1:10" ht="15" customHeight="1">
      <c r="A813" s="70">
        <v>44049</v>
      </c>
      <c r="B813" s="69" t="s">
        <v>881</v>
      </c>
      <c r="C813" s="69" t="s">
        <v>116</v>
      </c>
      <c r="D813" s="71">
        <v>34</v>
      </c>
      <c r="E813" s="69" t="s">
        <v>104</v>
      </c>
      <c r="F813" s="69" t="s">
        <v>120</v>
      </c>
      <c r="G813" s="69" t="s">
        <v>125</v>
      </c>
      <c r="H813" s="69" t="s">
        <v>137</v>
      </c>
      <c r="I813" s="69" t="s">
        <v>129</v>
      </c>
      <c r="J813" s="72">
        <v>65</v>
      </c>
    </row>
    <row r="814" spans="1:10" ht="15" customHeight="1">
      <c r="A814" s="70">
        <v>44049</v>
      </c>
      <c r="B814" s="69" t="s">
        <v>882</v>
      </c>
      <c r="C814" s="69" t="s">
        <v>103</v>
      </c>
      <c r="D814" s="71">
        <v>34</v>
      </c>
      <c r="E814" s="69" t="s">
        <v>104</v>
      </c>
      <c r="F814" s="69" t="s">
        <v>105</v>
      </c>
      <c r="G814" s="69" t="s">
        <v>105</v>
      </c>
      <c r="H814" s="69" t="s">
        <v>106</v>
      </c>
      <c r="I814" s="69" t="s">
        <v>114</v>
      </c>
      <c r="J814" s="72">
        <v>400</v>
      </c>
    </row>
    <row r="815" spans="1:10" ht="15" customHeight="1">
      <c r="A815" s="70">
        <v>44050</v>
      </c>
      <c r="B815" s="69" t="s">
        <v>883</v>
      </c>
      <c r="C815" s="69" t="s">
        <v>116</v>
      </c>
      <c r="D815" s="71">
        <v>2</v>
      </c>
      <c r="E815" s="69" t="s">
        <v>139</v>
      </c>
      <c r="F815" s="69" t="s">
        <v>105</v>
      </c>
      <c r="G815" s="69" t="s">
        <v>105</v>
      </c>
      <c r="H815" s="69" t="s">
        <v>137</v>
      </c>
      <c r="I815" s="69" t="s">
        <v>114</v>
      </c>
      <c r="J815" s="72">
        <v>400</v>
      </c>
    </row>
    <row r="816" spans="1:10" ht="15" customHeight="1">
      <c r="A816" s="70">
        <v>44050</v>
      </c>
      <c r="B816" s="69" t="s">
        <v>884</v>
      </c>
      <c r="C816" s="69" t="s">
        <v>116</v>
      </c>
      <c r="D816" s="71">
        <v>75</v>
      </c>
      <c r="E816" s="69" t="s">
        <v>104</v>
      </c>
      <c r="F816" s="69" t="s">
        <v>105</v>
      </c>
      <c r="G816" s="69" t="s">
        <v>105</v>
      </c>
      <c r="H816" s="69" t="s">
        <v>117</v>
      </c>
      <c r="I816" s="69" t="s">
        <v>114</v>
      </c>
      <c r="J816" s="72">
        <v>400</v>
      </c>
    </row>
    <row r="817" spans="1:10" ht="15" customHeight="1">
      <c r="A817" s="70">
        <v>44050</v>
      </c>
      <c r="B817" s="69" t="s">
        <v>885</v>
      </c>
      <c r="C817" s="69" t="s">
        <v>103</v>
      </c>
      <c r="D817" s="71">
        <v>50</v>
      </c>
      <c r="E817" s="69" t="s">
        <v>104</v>
      </c>
      <c r="F817" s="69" t="s">
        <v>120</v>
      </c>
      <c r="G817" s="69" t="s">
        <v>121</v>
      </c>
      <c r="H817" s="69" t="s">
        <v>137</v>
      </c>
      <c r="I817" s="69" t="s">
        <v>114</v>
      </c>
      <c r="J817" s="72">
        <v>78</v>
      </c>
    </row>
    <row r="818" spans="1:10" ht="15" customHeight="1">
      <c r="A818" s="70">
        <v>44050</v>
      </c>
      <c r="B818" s="69" t="s">
        <v>886</v>
      </c>
      <c r="C818" s="69" t="s">
        <v>116</v>
      </c>
      <c r="D818" s="71">
        <v>52</v>
      </c>
      <c r="E818" s="69" t="s">
        <v>113</v>
      </c>
      <c r="F818" s="69" t="s">
        <v>105</v>
      </c>
      <c r="G818" s="69" t="s">
        <v>105</v>
      </c>
      <c r="H818" s="69" t="s">
        <v>128</v>
      </c>
      <c r="I818" s="69" t="s">
        <v>107</v>
      </c>
      <c r="J818" s="72">
        <v>400</v>
      </c>
    </row>
    <row r="819" spans="1:10" ht="15" customHeight="1">
      <c r="A819" s="70">
        <v>44050</v>
      </c>
      <c r="B819" s="69" t="s">
        <v>887</v>
      </c>
      <c r="C819" s="69" t="s">
        <v>116</v>
      </c>
      <c r="D819" s="71">
        <v>4</v>
      </c>
      <c r="E819" s="69" t="s">
        <v>139</v>
      </c>
      <c r="F819" s="69" t="s">
        <v>105</v>
      </c>
      <c r="G819" s="69" t="s">
        <v>105</v>
      </c>
      <c r="H819" s="69" t="s">
        <v>117</v>
      </c>
      <c r="I819" s="69" t="s">
        <v>159</v>
      </c>
      <c r="J819" s="72">
        <v>400</v>
      </c>
    </row>
    <row r="820" spans="1:10" ht="15" customHeight="1">
      <c r="A820" s="70">
        <v>44050</v>
      </c>
      <c r="B820" s="69" t="s">
        <v>888</v>
      </c>
      <c r="C820" s="69" t="s">
        <v>116</v>
      </c>
      <c r="D820" s="71">
        <v>19</v>
      </c>
      <c r="E820" s="69" t="s">
        <v>113</v>
      </c>
      <c r="F820" s="69" t="s">
        <v>105</v>
      </c>
      <c r="G820" s="69" t="s">
        <v>105</v>
      </c>
      <c r="H820" s="69" t="s">
        <v>106</v>
      </c>
      <c r="I820" s="69" t="s">
        <v>118</v>
      </c>
      <c r="J820" s="72">
        <v>400</v>
      </c>
    </row>
    <row r="821" spans="1:10" ht="15" customHeight="1">
      <c r="A821" s="70">
        <v>44051</v>
      </c>
      <c r="B821" s="69" t="s">
        <v>889</v>
      </c>
      <c r="C821" s="69" t="s">
        <v>116</v>
      </c>
      <c r="D821" s="71">
        <v>21</v>
      </c>
      <c r="E821" s="69" t="s">
        <v>139</v>
      </c>
      <c r="F821" s="69" t="s">
        <v>105</v>
      </c>
      <c r="G821" s="69" t="s">
        <v>105</v>
      </c>
      <c r="H821" s="69" t="s">
        <v>131</v>
      </c>
      <c r="I821" s="69" t="s">
        <v>111</v>
      </c>
      <c r="J821" s="72">
        <v>400</v>
      </c>
    </row>
    <row r="822" spans="1:10" ht="15" customHeight="1">
      <c r="A822" s="70">
        <v>44051</v>
      </c>
      <c r="B822" s="69" t="s">
        <v>890</v>
      </c>
      <c r="C822" s="69" t="s">
        <v>103</v>
      </c>
      <c r="D822" s="71">
        <v>69</v>
      </c>
      <c r="E822" s="69" t="s">
        <v>104</v>
      </c>
      <c r="F822" s="69" t="s">
        <v>105</v>
      </c>
      <c r="G822" s="69" t="s">
        <v>105</v>
      </c>
      <c r="H822" s="69" t="s">
        <v>131</v>
      </c>
      <c r="I822" s="69" t="s">
        <v>107</v>
      </c>
      <c r="J822" s="72">
        <v>400</v>
      </c>
    </row>
    <row r="823" spans="1:10" ht="15" customHeight="1">
      <c r="A823" s="70">
        <v>44051</v>
      </c>
      <c r="B823" s="69" t="s">
        <v>891</v>
      </c>
      <c r="C823" s="69" t="s">
        <v>116</v>
      </c>
      <c r="D823" s="71">
        <v>62</v>
      </c>
      <c r="E823" s="69" t="s">
        <v>109</v>
      </c>
      <c r="F823" s="69" t="s">
        <v>105</v>
      </c>
      <c r="G823" s="69" t="s">
        <v>105</v>
      </c>
      <c r="H823" s="69" t="s">
        <v>117</v>
      </c>
      <c r="I823" s="69" t="s">
        <v>118</v>
      </c>
      <c r="J823" s="72">
        <v>400</v>
      </c>
    </row>
    <row r="824" spans="1:10" ht="15" customHeight="1">
      <c r="A824" s="70">
        <v>44051</v>
      </c>
      <c r="B824" s="69" t="s">
        <v>892</v>
      </c>
      <c r="C824" s="69" t="s">
        <v>103</v>
      </c>
      <c r="D824" s="71">
        <v>39</v>
      </c>
      <c r="E824" s="69" t="s">
        <v>104</v>
      </c>
      <c r="F824" s="69" t="s">
        <v>105</v>
      </c>
      <c r="G824" s="69" t="s">
        <v>105</v>
      </c>
      <c r="H824" s="69" t="s">
        <v>106</v>
      </c>
      <c r="I824" s="69" t="s">
        <v>118</v>
      </c>
      <c r="J824" s="72">
        <v>400</v>
      </c>
    </row>
    <row r="825" spans="1:10" ht="15" customHeight="1">
      <c r="A825" s="70">
        <v>44051</v>
      </c>
      <c r="B825" s="69" t="s">
        <v>703</v>
      </c>
      <c r="C825" s="69" t="s">
        <v>103</v>
      </c>
      <c r="D825" s="71">
        <v>53</v>
      </c>
      <c r="E825" s="69" t="s">
        <v>139</v>
      </c>
      <c r="F825" s="69" t="s">
        <v>120</v>
      </c>
      <c r="G825" s="69" t="s">
        <v>125</v>
      </c>
      <c r="H825" s="69" t="s">
        <v>131</v>
      </c>
      <c r="I825" s="69" t="s">
        <v>107</v>
      </c>
      <c r="J825" s="72">
        <v>65</v>
      </c>
    </row>
    <row r="826" spans="1:10" ht="15" customHeight="1">
      <c r="A826" s="70">
        <v>44052</v>
      </c>
      <c r="B826" s="69" t="s">
        <v>893</v>
      </c>
      <c r="C826" s="69" t="s">
        <v>116</v>
      </c>
      <c r="D826" s="71">
        <v>48</v>
      </c>
      <c r="E826" s="69" t="s">
        <v>113</v>
      </c>
      <c r="F826" s="69" t="s">
        <v>120</v>
      </c>
      <c r="G826" s="69" t="s">
        <v>125</v>
      </c>
      <c r="H826" s="69" t="s">
        <v>145</v>
      </c>
      <c r="I826" s="69" t="s">
        <v>114</v>
      </c>
      <c r="J826" s="72">
        <v>65</v>
      </c>
    </row>
    <row r="827" spans="1:10" ht="15" customHeight="1">
      <c r="A827" s="70">
        <v>44052</v>
      </c>
      <c r="B827" s="69" t="s">
        <v>435</v>
      </c>
      <c r="C827" s="69" t="s">
        <v>103</v>
      </c>
      <c r="D827" s="71">
        <v>3</v>
      </c>
      <c r="E827" s="69" t="s">
        <v>113</v>
      </c>
      <c r="F827" s="69" t="s">
        <v>105</v>
      </c>
      <c r="G827" s="69" t="s">
        <v>105</v>
      </c>
      <c r="H827" s="69" t="s">
        <v>126</v>
      </c>
      <c r="I827" s="69" t="s">
        <v>129</v>
      </c>
      <c r="J827" s="72">
        <v>400</v>
      </c>
    </row>
    <row r="828" spans="1:10" ht="15" customHeight="1">
      <c r="A828" s="70">
        <v>44052</v>
      </c>
      <c r="B828" s="69" t="s">
        <v>894</v>
      </c>
      <c r="C828" s="69" t="s">
        <v>116</v>
      </c>
      <c r="D828" s="71">
        <v>30</v>
      </c>
      <c r="E828" s="69" t="s">
        <v>104</v>
      </c>
      <c r="F828" s="69" t="s">
        <v>120</v>
      </c>
      <c r="G828" s="69" t="s">
        <v>121</v>
      </c>
      <c r="H828" s="69" t="s">
        <v>137</v>
      </c>
      <c r="I828" s="69" t="s">
        <v>107</v>
      </c>
      <c r="J828" s="72">
        <v>78</v>
      </c>
    </row>
    <row r="829" spans="1:10" ht="15" customHeight="1">
      <c r="A829" s="70">
        <v>44052</v>
      </c>
      <c r="B829" s="69" t="s">
        <v>895</v>
      </c>
      <c r="C829" s="69" t="s">
        <v>103</v>
      </c>
      <c r="D829" s="71">
        <v>24</v>
      </c>
      <c r="E829" s="69" t="s">
        <v>113</v>
      </c>
      <c r="F829" s="69" t="s">
        <v>120</v>
      </c>
      <c r="G829" s="69" t="s">
        <v>142</v>
      </c>
      <c r="H829" s="69" t="s">
        <v>106</v>
      </c>
      <c r="I829" s="69" t="s">
        <v>107</v>
      </c>
      <c r="J829" s="72">
        <v>52</v>
      </c>
    </row>
    <row r="830" spans="1:10" ht="15" customHeight="1">
      <c r="A830" s="70">
        <v>44052</v>
      </c>
      <c r="B830" s="69" t="s">
        <v>511</v>
      </c>
      <c r="C830" s="69" t="s">
        <v>116</v>
      </c>
      <c r="D830" s="71">
        <v>20</v>
      </c>
      <c r="E830" s="69" t="s">
        <v>113</v>
      </c>
      <c r="F830" s="69" t="s">
        <v>105</v>
      </c>
      <c r="G830" s="69" t="s">
        <v>105</v>
      </c>
      <c r="H830" s="69" t="s">
        <v>106</v>
      </c>
      <c r="I830" s="69" t="s">
        <v>107</v>
      </c>
      <c r="J830" s="72">
        <v>400</v>
      </c>
    </row>
    <row r="831" spans="1:10" ht="15" customHeight="1">
      <c r="A831" s="70">
        <v>44052</v>
      </c>
      <c r="B831" s="69" t="s">
        <v>896</v>
      </c>
      <c r="C831" s="69" t="s">
        <v>116</v>
      </c>
      <c r="D831" s="71">
        <v>69</v>
      </c>
      <c r="E831" s="69" t="s">
        <v>104</v>
      </c>
      <c r="F831" s="69" t="s">
        <v>120</v>
      </c>
      <c r="G831" s="69" t="s">
        <v>125</v>
      </c>
      <c r="H831" s="69" t="s">
        <v>137</v>
      </c>
      <c r="I831" s="69" t="s">
        <v>118</v>
      </c>
      <c r="J831" s="72">
        <v>65</v>
      </c>
    </row>
    <row r="832" spans="1:10" ht="15" customHeight="1">
      <c r="A832" s="70">
        <v>44052</v>
      </c>
      <c r="B832" s="69" t="s">
        <v>897</v>
      </c>
      <c r="C832" s="69" t="s">
        <v>116</v>
      </c>
      <c r="D832" s="71">
        <v>45</v>
      </c>
      <c r="E832" s="69" t="s">
        <v>139</v>
      </c>
      <c r="F832" s="69" t="s">
        <v>105</v>
      </c>
      <c r="G832" s="69" t="s">
        <v>105</v>
      </c>
      <c r="H832" s="69" t="s">
        <v>131</v>
      </c>
      <c r="I832" s="69" t="s">
        <v>129</v>
      </c>
      <c r="J832" s="72">
        <v>400</v>
      </c>
    </row>
    <row r="833" spans="1:10" ht="15" customHeight="1">
      <c r="A833" s="70">
        <v>44054</v>
      </c>
      <c r="B833" s="69" t="s">
        <v>898</v>
      </c>
      <c r="C833" s="69" t="s">
        <v>103</v>
      </c>
      <c r="D833" s="71">
        <v>65</v>
      </c>
      <c r="E833" s="69" t="s">
        <v>109</v>
      </c>
      <c r="F833" s="69" t="s">
        <v>105</v>
      </c>
      <c r="G833" s="69" t="s">
        <v>105</v>
      </c>
      <c r="H833" s="69" t="s">
        <v>106</v>
      </c>
      <c r="I833" s="69" t="s">
        <v>114</v>
      </c>
      <c r="J833" s="72">
        <v>400</v>
      </c>
    </row>
    <row r="834" spans="1:10" ht="15" customHeight="1">
      <c r="A834" s="70">
        <v>44054</v>
      </c>
      <c r="B834" s="69" t="s">
        <v>899</v>
      </c>
      <c r="C834" s="69" t="s">
        <v>116</v>
      </c>
      <c r="D834" s="71">
        <v>33</v>
      </c>
      <c r="E834" s="69" t="s">
        <v>113</v>
      </c>
      <c r="F834" s="69" t="s">
        <v>105</v>
      </c>
      <c r="G834" s="69" t="s">
        <v>105</v>
      </c>
      <c r="H834" s="69" t="s">
        <v>131</v>
      </c>
      <c r="I834" s="69" t="s">
        <v>107</v>
      </c>
      <c r="J834" s="72">
        <v>400</v>
      </c>
    </row>
    <row r="835" spans="1:10" ht="15" customHeight="1">
      <c r="A835" s="70">
        <v>44054</v>
      </c>
      <c r="B835" s="69" t="s">
        <v>900</v>
      </c>
      <c r="C835" s="69" t="s">
        <v>116</v>
      </c>
      <c r="D835" s="71">
        <v>17</v>
      </c>
      <c r="E835" s="69" t="s">
        <v>113</v>
      </c>
      <c r="F835" s="69" t="s">
        <v>105</v>
      </c>
      <c r="G835" s="69" t="s">
        <v>105</v>
      </c>
      <c r="H835" s="69" t="s">
        <v>145</v>
      </c>
      <c r="I835" s="69" t="s">
        <v>159</v>
      </c>
      <c r="J835" s="72">
        <v>400</v>
      </c>
    </row>
    <row r="836" spans="1:10" ht="15" customHeight="1">
      <c r="A836" s="70">
        <v>44055</v>
      </c>
      <c r="B836" s="69" t="s">
        <v>901</v>
      </c>
      <c r="C836" s="69" t="s">
        <v>103</v>
      </c>
      <c r="D836" s="71">
        <v>12</v>
      </c>
      <c r="E836" s="69" t="s">
        <v>113</v>
      </c>
      <c r="F836" s="69" t="s">
        <v>120</v>
      </c>
      <c r="G836" s="69" t="s">
        <v>121</v>
      </c>
      <c r="H836" s="69" t="s">
        <v>128</v>
      </c>
      <c r="I836" s="69" t="s">
        <v>107</v>
      </c>
      <c r="J836" s="72">
        <v>78</v>
      </c>
    </row>
    <row r="837" spans="1:10" ht="15" customHeight="1">
      <c r="A837" s="70">
        <v>44055</v>
      </c>
      <c r="B837" s="69" t="s">
        <v>692</v>
      </c>
      <c r="C837" s="69" t="s">
        <v>116</v>
      </c>
      <c r="D837" s="71">
        <v>52</v>
      </c>
      <c r="E837" s="69" t="s">
        <v>109</v>
      </c>
      <c r="F837" s="69" t="s">
        <v>120</v>
      </c>
      <c r="G837" s="69" t="s">
        <v>121</v>
      </c>
      <c r="H837" s="69" t="s">
        <v>106</v>
      </c>
      <c r="I837" s="69" t="s">
        <v>107</v>
      </c>
      <c r="J837" s="72">
        <v>78</v>
      </c>
    </row>
    <row r="838" spans="1:10" ht="15" customHeight="1">
      <c r="A838" s="70">
        <v>44055</v>
      </c>
      <c r="B838" s="69" t="s">
        <v>902</v>
      </c>
      <c r="C838" s="69" t="s">
        <v>116</v>
      </c>
      <c r="D838" s="71">
        <v>61</v>
      </c>
      <c r="E838" s="69" t="s">
        <v>113</v>
      </c>
      <c r="F838" s="69" t="s">
        <v>120</v>
      </c>
      <c r="G838" s="69" t="s">
        <v>142</v>
      </c>
      <c r="H838" s="69" t="s">
        <v>137</v>
      </c>
      <c r="I838" s="69" t="s">
        <v>107</v>
      </c>
      <c r="J838" s="72">
        <v>52</v>
      </c>
    </row>
    <row r="839" spans="1:10" ht="15" customHeight="1">
      <c r="A839" s="70">
        <v>44055</v>
      </c>
      <c r="B839" s="69" t="s">
        <v>903</v>
      </c>
      <c r="C839" s="69" t="s">
        <v>103</v>
      </c>
      <c r="D839" s="71">
        <v>45</v>
      </c>
      <c r="E839" s="69" t="s">
        <v>113</v>
      </c>
      <c r="F839" s="69" t="s">
        <v>105</v>
      </c>
      <c r="G839" s="69" t="s">
        <v>105</v>
      </c>
      <c r="H839" s="69" t="s">
        <v>128</v>
      </c>
      <c r="I839" s="69" t="s">
        <v>159</v>
      </c>
      <c r="J839" s="72">
        <v>400</v>
      </c>
    </row>
    <row r="840" spans="1:10" ht="15" customHeight="1">
      <c r="A840" s="70">
        <v>44055</v>
      </c>
      <c r="B840" s="69" t="s">
        <v>904</v>
      </c>
      <c r="C840" s="69" t="s">
        <v>116</v>
      </c>
      <c r="D840" s="71">
        <v>46</v>
      </c>
      <c r="E840" s="69" t="s">
        <v>109</v>
      </c>
      <c r="F840" s="69" t="s">
        <v>105</v>
      </c>
      <c r="G840" s="69" t="s">
        <v>105</v>
      </c>
      <c r="H840" s="69" t="s">
        <v>106</v>
      </c>
      <c r="I840" s="69" t="s">
        <v>129</v>
      </c>
      <c r="J840" s="72">
        <v>400</v>
      </c>
    </row>
    <row r="841" spans="1:10" ht="15" customHeight="1">
      <c r="A841" s="70">
        <v>44055</v>
      </c>
      <c r="B841" s="69" t="s">
        <v>905</v>
      </c>
      <c r="C841" s="69" t="s">
        <v>116</v>
      </c>
      <c r="D841" s="71">
        <v>20</v>
      </c>
      <c r="E841" s="69" t="s">
        <v>139</v>
      </c>
      <c r="F841" s="69" t="s">
        <v>105</v>
      </c>
      <c r="G841" s="69" t="s">
        <v>105</v>
      </c>
      <c r="H841" s="69" t="s">
        <v>137</v>
      </c>
      <c r="I841" s="69" t="s">
        <v>118</v>
      </c>
      <c r="J841" s="72">
        <v>400</v>
      </c>
    </row>
    <row r="842" spans="1:10" ht="15" customHeight="1">
      <c r="A842" s="70">
        <v>44055</v>
      </c>
      <c r="B842" s="69" t="s">
        <v>906</v>
      </c>
      <c r="C842" s="69" t="s">
        <v>103</v>
      </c>
      <c r="D842" s="71">
        <v>53</v>
      </c>
      <c r="E842" s="69" t="s">
        <v>113</v>
      </c>
      <c r="F842" s="69" t="s">
        <v>120</v>
      </c>
      <c r="G842" s="69" t="s">
        <v>142</v>
      </c>
      <c r="H842" s="69" t="s">
        <v>106</v>
      </c>
      <c r="I842" s="69" t="s">
        <v>107</v>
      </c>
      <c r="J842" s="72">
        <v>52</v>
      </c>
    </row>
    <row r="843" spans="1:10" ht="15" customHeight="1">
      <c r="A843" s="70">
        <v>44056</v>
      </c>
      <c r="B843" s="69" t="s">
        <v>907</v>
      </c>
      <c r="C843" s="69" t="s">
        <v>103</v>
      </c>
      <c r="D843" s="71">
        <v>38</v>
      </c>
      <c r="E843" s="69" t="s">
        <v>113</v>
      </c>
      <c r="F843" s="69" t="s">
        <v>120</v>
      </c>
      <c r="G843" s="69" t="s">
        <v>125</v>
      </c>
      <c r="H843" s="69" t="s">
        <v>131</v>
      </c>
      <c r="I843" s="69" t="s">
        <v>118</v>
      </c>
      <c r="J843" s="72">
        <v>65</v>
      </c>
    </row>
    <row r="844" spans="1:10" ht="15" customHeight="1">
      <c r="A844" s="70">
        <v>44056</v>
      </c>
      <c r="B844" s="69" t="s">
        <v>765</v>
      </c>
      <c r="C844" s="69" t="s">
        <v>116</v>
      </c>
      <c r="D844" s="71">
        <v>24</v>
      </c>
      <c r="E844" s="69" t="s">
        <v>139</v>
      </c>
      <c r="F844" s="69" t="s">
        <v>105</v>
      </c>
      <c r="G844" s="69" t="s">
        <v>105</v>
      </c>
      <c r="H844" s="69" t="s">
        <v>117</v>
      </c>
      <c r="I844" s="69" t="s">
        <v>111</v>
      </c>
      <c r="J844" s="72">
        <v>400</v>
      </c>
    </row>
    <row r="845" spans="1:10" ht="15" customHeight="1">
      <c r="A845" s="70">
        <v>44056</v>
      </c>
      <c r="B845" s="69" t="s">
        <v>908</v>
      </c>
      <c r="C845" s="69" t="s">
        <v>116</v>
      </c>
      <c r="D845" s="71">
        <v>14</v>
      </c>
      <c r="E845" s="69" t="s">
        <v>139</v>
      </c>
      <c r="F845" s="69" t="s">
        <v>105</v>
      </c>
      <c r="G845" s="69" t="s">
        <v>105</v>
      </c>
      <c r="H845" s="69" t="s">
        <v>128</v>
      </c>
      <c r="I845" s="69" t="s">
        <v>111</v>
      </c>
      <c r="J845" s="72">
        <v>400</v>
      </c>
    </row>
    <row r="846" spans="1:10" ht="15" customHeight="1">
      <c r="A846" s="70">
        <v>44056</v>
      </c>
      <c r="B846" s="69" t="s">
        <v>909</v>
      </c>
      <c r="C846" s="69" t="s">
        <v>116</v>
      </c>
      <c r="D846" s="71">
        <v>38</v>
      </c>
      <c r="E846" s="69" t="s">
        <v>109</v>
      </c>
      <c r="F846" s="69" t="s">
        <v>105</v>
      </c>
      <c r="G846" s="69" t="s">
        <v>105</v>
      </c>
      <c r="H846" s="69" t="s">
        <v>137</v>
      </c>
      <c r="I846" s="69" t="s">
        <v>114</v>
      </c>
      <c r="J846" s="72">
        <v>400</v>
      </c>
    </row>
    <row r="847" spans="1:10" ht="15" customHeight="1">
      <c r="A847" s="70">
        <v>44056</v>
      </c>
      <c r="B847" s="69" t="s">
        <v>910</v>
      </c>
      <c r="C847" s="69" t="s">
        <v>116</v>
      </c>
      <c r="D847" s="71">
        <v>62</v>
      </c>
      <c r="E847" s="69" t="s">
        <v>109</v>
      </c>
      <c r="F847" s="69" t="s">
        <v>120</v>
      </c>
      <c r="G847" s="69" t="s">
        <v>123</v>
      </c>
      <c r="H847" s="69" t="s">
        <v>137</v>
      </c>
      <c r="I847" s="69" t="s">
        <v>107</v>
      </c>
      <c r="J847" s="72">
        <v>90</v>
      </c>
    </row>
    <row r="848" spans="1:10" ht="15" customHeight="1">
      <c r="A848" s="70">
        <v>44057</v>
      </c>
      <c r="B848" s="69" t="s">
        <v>911</v>
      </c>
      <c r="C848" s="69" t="s">
        <v>116</v>
      </c>
      <c r="D848" s="71">
        <v>47</v>
      </c>
      <c r="E848" s="69" t="s">
        <v>139</v>
      </c>
      <c r="F848" s="69" t="s">
        <v>105</v>
      </c>
      <c r="G848" s="69" t="s">
        <v>105</v>
      </c>
      <c r="H848" s="69" t="s">
        <v>145</v>
      </c>
      <c r="I848" s="69" t="s">
        <v>118</v>
      </c>
      <c r="J848" s="72">
        <v>400</v>
      </c>
    </row>
    <row r="849" spans="1:10" ht="15" customHeight="1">
      <c r="A849" s="70">
        <v>44057</v>
      </c>
      <c r="B849" s="69" t="s">
        <v>912</v>
      </c>
      <c r="C849" s="69" t="s">
        <v>116</v>
      </c>
      <c r="D849" s="71">
        <v>22</v>
      </c>
      <c r="E849" s="69" t="s">
        <v>139</v>
      </c>
      <c r="F849" s="69" t="s">
        <v>105</v>
      </c>
      <c r="G849" s="69" t="s">
        <v>105</v>
      </c>
      <c r="H849" s="69" t="s">
        <v>128</v>
      </c>
      <c r="I849" s="69" t="s">
        <v>111</v>
      </c>
      <c r="J849" s="72">
        <v>400</v>
      </c>
    </row>
    <row r="850" spans="1:10" ht="15" customHeight="1">
      <c r="A850" s="70">
        <v>44057</v>
      </c>
      <c r="B850" s="69" t="s">
        <v>913</v>
      </c>
      <c r="C850" s="69" t="s">
        <v>103</v>
      </c>
      <c r="D850" s="71">
        <v>36</v>
      </c>
      <c r="E850" s="69" t="s">
        <v>139</v>
      </c>
      <c r="F850" s="69" t="s">
        <v>105</v>
      </c>
      <c r="G850" s="69" t="s">
        <v>105</v>
      </c>
      <c r="H850" s="69" t="s">
        <v>137</v>
      </c>
      <c r="I850" s="69" t="s">
        <v>111</v>
      </c>
      <c r="J850" s="72">
        <v>400</v>
      </c>
    </row>
    <row r="851" spans="1:10" ht="15" customHeight="1">
      <c r="A851" s="70">
        <v>44057</v>
      </c>
      <c r="B851" s="69" t="s">
        <v>914</v>
      </c>
      <c r="C851" s="69" t="s">
        <v>116</v>
      </c>
      <c r="D851" s="71">
        <v>59</v>
      </c>
      <c r="E851" s="69" t="s">
        <v>104</v>
      </c>
      <c r="F851" s="69" t="s">
        <v>105</v>
      </c>
      <c r="G851" s="69" t="s">
        <v>105</v>
      </c>
      <c r="H851" s="69" t="s">
        <v>126</v>
      </c>
      <c r="I851" s="69" t="s">
        <v>118</v>
      </c>
      <c r="J851" s="72">
        <v>400</v>
      </c>
    </row>
    <row r="852" spans="1:10" ht="15" customHeight="1">
      <c r="A852" s="70">
        <v>44058</v>
      </c>
      <c r="B852" s="69" t="s">
        <v>915</v>
      </c>
      <c r="C852" s="69" t="s">
        <v>116</v>
      </c>
      <c r="D852" s="71">
        <v>34</v>
      </c>
      <c r="E852" s="69" t="s">
        <v>109</v>
      </c>
      <c r="F852" s="69" t="s">
        <v>105</v>
      </c>
      <c r="G852" s="69" t="s">
        <v>105</v>
      </c>
      <c r="H852" s="69" t="s">
        <v>145</v>
      </c>
      <c r="I852" s="69" t="s">
        <v>129</v>
      </c>
      <c r="J852" s="72">
        <v>400</v>
      </c>
    </row>
    <row r="853" spans="1:10" ht="15" customHeight="1">
      <c r="A853" s="70">
        <v>44058</v>
      </c>
      <c r="B853" s="69" t="s">
        <v>461</v>
      </c>
      <c r="C853" s="69" t="s">
        <v>116</v>
      </c>
      <c r="D853" s="71">
        <v>33</v>
      </c>
      <c r="E853" s="69" t="s">
        <v>104</v>
      </c>
      <c r="F853" s="69" t="s">
        <v>105</v>
      </c>
      <c r="G853" s="69" t="s">
        <v>105</v>
      </c>
      <c r="H853" s="69" t="s">
        <v>106</v>
      </c>
      <c r="I853" s="69" t="s">
        <v>114</v>
      </c>
      <c r="J853" s="72">
        <v>400</v>
      </c>
    </row>
    <row r="854" spans="1:10" ht="15" customHeight="1">
      <c r="A854" s="70">
        <v>44058</v>
      </c>
      <c r="B854" s="69" t="s">
        <v>916</v>
      </c>
      <c r="C854" s="69" t="s">
        <v>116</v>
      </c>
      <c r="D854" s="71">
        <v>0</v>
      </c>
      <c r="E854" s="69" t="s">
        <v>139</v>
      </c>
      <c r="F854" s="69" t="s">
        <v>120</v>
      </c>
      <c r="G854" s="69" t="s">
        <v>121</v>
      </c>
      <c r="H854" s="69" t="s">
        <v>106</v>
      </c>
      <c r="I854" s="69" t="s">
        <v>107</v>
      </c>
      <c r="J854" s="72">
        <v>78</v>
      </c>
    </row>
    <row r="855" spans="1:10" ht="15" customHeight="1">
      <c r="A855" s="70">
        <v>44058</v>
      </c>
      <c r="B855" s="69" t="s">
        <v>917</v>
      </c>
      <c r="C855" s="69" t="s">
        <v>116</v>
      </c>
      <c r="D855" s="71">
        <v>57</v>
      </c>
      <c r="E855" s="69" t="s">
        <v>139</v>
      </c>
      <c r="F855" s="69" t="s">
        <v>105</v>
      </c>
      <c r="G855" s="69" t="s">
        <v>105</v>
      </c>
      <c r="H855" s="69" t="s">
        <v>128</v>
      </c>
      <c r="I855" s="69" t="s">
        <v>159</v>
      </c>
      <c r="J855" s="72">
        <v>400</v>
      </c>
    </row>
    <row r="856" spans="1:10" ht="15" customHeight="1">
      <c r="A856" s="70">
        <v>44058</v>
      </c>
      <c r="B856" s="69" t="s">
        <v>918</v>
      </c>
      <c r="C856" s="69" t="s">
        <v>116</v>
      </c>
      <c r="D856" s="71">
        <v>53</v>
      </c>
      <c r="E856" s="69" t="s">
        <v>139</v>
      </c>
      <c r="F856" s="69" t="s">
        <v>105</v>
      </c>
      <c r="G856" s="69" t="s">
        <v>105</v>
      </c>
      <c r="H856" s="69" t="s">
        <v>137</v>
      </c>
      <c r="I856" s="69" t="s">
        <v>118</v>
      </c>
      <c r="J856" s="72">
        <v>400</v>
      </c>
    </row>
    <row r="857" spans="1:10" ht="15" customHeight="1">
      <c r="A857" s="70">
        <v>44058</v>
      </c>
      <c r="B857" s="69" t="s">
        <v>789</v>
      </c>
      <c r="C857" s="69" t="s">
        <v>103</v>
      </c>
      <c r="D857" s="71">
        <v>24</v>
      </c>
      <c r="E857" s="69" t="s">
        <v>139</v>
      </c>
      <c r="F857" s="69" t="s">
        <v>120</v>
      </c>
      <c r="G857" s="69" t="s">
        <v>125</v>
      </c>
      <c r="H857" s="69" t="s">
        <v>137</v>
      </c>
      <c r="I857" s="69" t="s">
        <v>114</v>
      </c>
      <c r="J857" s="72">
        <v>65</v>
      </c>
    </row>
    <row r="858" spans="1:10" ht="15" customHeight="1">
      <c r="A858" s="70">
        <v>44059</v>
      </c>
      <c r="B858" s="69" t="s">
        <v>919</v>
      </c>
      <c r="C858" s="69" t="s">
        <v>103</v>
      </c>
      <c r="D858" s="71">
        <v>59</v>
      </c>
      <c r="E858" s="69" t="s">
        <v>139</v>
      </c>
      <c r="F858" s="69" t="s">
        <v>105</v>
      </c>
      <c r="G858" s="69" t="s">
        <v>105</v>
      </c>
      <c r="H858" s="69" t="s">
        <v>106</v>
      </c>
      <c r="I858" s="69" t="s">
        <v>107</v>
      </c>
      <c r="J858" s="72">
        <v>400</v>
      </c>
    </row>
    <row r="859" spans="1:10" ht="15" customHeight="1">
      <c r="A859" s="70">
        <v>44059</v>
      </c>
      <c r="B859" s="69" t="s">
        <v>920</v>
      </c>
      <c r="C859" s="69" t="s">
        <v>103</v>
      </c>
      <c r="D859" s="71">
        <v>63</v>
      </c>
      <c r="E859" s="69" t="s">
        <v>109</v>
      </c>
      <c r="F859" s="69" t="s">
        <v>120</v>
      </c>
      <c r="G859" s="69" t="s">
        <v>121</v>
      </c>
      <c r="H859" s="69" t="s">
        <v>137</v>
      </c>
      <c r="I859" s="69" t="s">
        <v>159</v>
      </c>
      <c r="J859" s="72">
        <v>78</v>
      </c>
    </row>
    <row r="860" spans="1:10" ht="15" customHeight="1">
      <c r="A860" s="70">
        <v>44059</v>
      </c>
      <c r="B860" s="69" t="s">
        <v>921</v>
      </c>
      <c r="C860" s="69" t="s">
        <v>116</v>
      </c>
      <c r="D860" s="71">
        <v>53</v>
      </c>
      <c r="E860" s="69" t="s">
        <v>109</v>
      </c>
      <c r="F860" s="69" t="s">
        <v>120</v>
      </c>
      <c r="G860" s="69" t="s">
        <v>125</v>
      </c>
      <c r="H860" s="69" t="s">
        <v>145</v>
      </c>
      <c r="I860" s="69" t="s">
        <v>129</v>
      </c>
      <c r="J860" s="72">
        <v>65</v>
      </c>
    </row>
    <row r="861" spans="1:10" ht="15" customHeight="1">
      <c r="A861" s="70">
        <v>44059</v>
      </c>
      <c r="B861" s="69" t="s">
        <v>922</v>
      </c>
      <c r="C861" s="69" t="s">
        <v>103</v>
      </c>
      <c r="D861" s="71">
        <v>22</v>
      </c>
      <c r="E861" s="69" t="s">
        <v>104</v>
      </c>
      <c r="F861" s="69" t="s">
        <v>105</v>
      </c>
      <c r="G861" s="69" t="s">
        <v>105</v>
      </c>
      <c r="H861" s="69" t="s">
        <v>110</v>
      </c>
      <c r="I861" s="69" t="s">
        <v>129</v>
      </c>
      <c r="J861" s="72">
        <v>400</v>
      </c>
    </row>
    <row r="862" spans="1:10" ht="15" customHeight="1">
      <c r="A862" s="70">
        <v>44059</v>
      </c>
      <c r="B862" s="69" t="s">
        <v>923</v>
      </c>
      <c r="C862" s="69" t="s">
        <v>116</v>
      </c>
      <c r="D862" s="71">
        <v>46</v>
      </c>
      <c r="E862" s="69" t="s">
        <v>104</v>
      </c>
      <c r="F862" s="69" t="s">
        <v>105</v>
      </c>
      <c r="G862" s="69" t="s">
        <v>105</v>
      </c>
      <c r="H862" s="69" t="s">
        <v>131</v>
      </c>
      <c r="I862" s="69" t="s">
        <v>118</v>
      </c>
      <c r="J862" s="72">
        <v>400</v>
      </c>
    </row>
    <row r="863" spans="1:10" ht="15" customHeight="1">
      <c r="A863" s="70">
        <v>44059</v>
      </c>
      <c r="B863" s="69" t="s">
        <v>924</v>
      </c>
      <c r="C863" s="69" t="s">
        <v>116</v>
      </c>
      <c r="D863" s="71">
        <v>55</v>
      </c>
      <c r="E863" s="69" t="s">
        <v>113</v>
      </c>
      <c r="F863" s="69" t="s">
        <v>120</v>
      </c>
      <c r="G863" s="69" t="s">
        <v>121</v>
      </c>
      <c r="H863" s="69" t="s">
        <v>131</v>
      </c>
      <c r="I863" s="69" t="s">
        <v>107</v>
      </c>
      <c r="J863" s="72">
        <v>78</v>
      </c>
    </row>
    <row r="864" spans="1:10" ht="15" customHeight="1">
      <c r="A864" s="70">
        <v>44059</v>
      </c>
      <c r="B864" s="69" t="s">
        <v>925</v>
      </c>
      <c r="C864" s="69" t="s">
        <v>116</v>
      </c>
      <c r="D864" s="71">
        <v>18</v>
      </c>
      <c r="E864" s="69" t="s">
        <v>109</v>
      </c>
      <c r="F864" s="69" t="s">
        <v>105</v>
      </c>
      <c r="G864" s="69" t="s">
        <v>105</v>
      </c>
      <c r="H864" s="69" t="s">
        <v>117</v>
      </c>
      <c r="I864" s="69" t="s">
        <v>114</v>
      </c>
      <c r="J864" s="72">
        <v>400</v>
      </c>
    </row>
    <row r="865" spans="1:10" ht="15" customHeight="1">
      <c r="A865" s="70">
        <v>44059</v>
      </c>
      <c r="B865" s="69" t="s">
        <v>926</v>
      </c>
      <c r="C865" s="69" t="s">
        <v>116</v>
      </c>
      <c r="D865" s="71">
        <v>5</v>
      </c>
      <c r="E865" s="69" t="s">
        <v>104</v>
      </c>
      <c r="F865" s="69" t="s">
        <v>105</v>
      </c>
      <c r="G865" s="69" t="s">
        <v>105</v>
      </c>
      <c r="H865" s="69" t="s">
        <v>106</v>
      </c>
      <c r="I865" s="69" t="s">
        <v>107</v>
      </c>
      <c r="J865" s="72">
        <v>400</v>
      </c>
    </row>
    <row r="866" spans="1:10" ht="15" customHeight="1">
      <c r="A866" s="70">
        <v>44060</v>
      </c>
      <c r="B866" s="69" t="s">
        <v>927</v>
      </c>
      <c r="C866" s="69" t="s">
        <v>103</v>
      </c>
      <c r="D866" s="71">
        <v>57</v>
      </c>
      <c r="E866" s="69" t="s">
        <v>104</v>
      </c>
      <c r="F866" s="69" t="s">
        <v>105</v>
      </c>
      <c r="G866" s="69" t="s">
        <v>105</v>
      </c>
      <c r="H866" s="69" t="s">
        <v>137</v>
      </c>
      <c r="I866" s="69" t="s">
        <v>114</v>
      </c>
      <c r="J866" s="72">
        <v>400</v>
      </c>
    </row>
    <row r="867" spans="1:10" ht="15" customHeight="1">
      <c r="A867" s="70">
        <v>44060</v>
      </c>
      <c r="B867" s="69" t="s">
        <v>725</v>
      </c>
      <c r="C867" s="69" t="s">
        <v>116</v>
      </c>
      <c r="D867" s="71">
        <v>58</v>
      </c>
      <c r="E867" s="69" t="s">
        <v>139</v>
      </c>
      <c r="F867" s="69" t="s">
        <v>105</v>
      </c>
      <c r="G867" s="69" t="s">
        <v>105</v>
      </c>
      <c r="H867" s="69" t="s">
        <v>110</v>
      </c>
      <c r="I867" s="69" t="s">
        <v>114</v>
      </c>
      <c r="J867" s="72">
        <v>400</v>
      </c>
    </row>
    <row r="868" spans="1:10" ht="15" customHeight="1">
      <c r="A868" s="70">
        <v>44060</v>
      </c>
      <c r="B868" s="69" t="s">
        <v>158</v>
      </c>
      <c r="C868" s="69" t="s">
        <v>116</v>
      </c>
      <c r="D868" s="71">
        <v>4</v>
      </c>
      <c r="E868" s="69" t="s">
        <v>104</v>
      </c>
      <c r="F868" s="69" t="s">
        <v>120</v>
      </c>
      <c r="G868" s="69" t="s">
        <v>121</v>
      </c>
      <c r="H868" s="69" t="s">
        <v>128</v>
      </c>
      <c r="I868" s="69" t="s">
        <v>114</v>
      </c>
      <c r="J868" s="72">
        <v>78</v>
      </c>
    </row>
    <row r="869" spans="1:10" ht="15" customHeight="1">
      <c r="A869" s="70">
        <v>44060</v>
      </c>
      <c r="B869" s="69" t="s">
        <v>928</v>
      </c>
      <c r="C869" s="69" t="s">
        <v>116</v>
      </c>
      <c r="D869" s="71">
        <v>75</v>
      </c>
      <c r="E869" s="69" t="s">
        <v>113</v>
      </c>
      <c r="F869" s="69" t="s">
        <v>105</v>
      </c>
      <c r="G869" s="69" t="s">
        <v>105</v>
      </c>
      <c r="H869" s="69" t="s">
        <v>128</v>
      </c>
      <c r="I869" s="69" t="s">
        <v>111</v>
      </c>
      <c r="J869" s="72">
        <v>400</v>
      </c>
    </row>
    <row r="870" spans="1:10" ht="15" customHeight="1">
      <c r="A870" s="70">
        <v>44061</v>
      </c>
      <c r="B870" s="69" t="s">
        <v>929</v>
      </c>
      <c r="C870" s="69" t="s">
        <v>116</v>
      </c>
      <c r="D870" s="71">
        <v>64</v>
      </c>
      <c r="E870" s="69" t="s">
        <v>109</v>
      </c>
      <c r="F870" s="69" t="s">
        <v>105</v>
      </c>
      <c r="G870" s="69" t="s">
        <v>105</v>
      </c>
      <c r="H870" s="69" t="s">
        <v>131</v>
      </c>
      <c r="I870" s="69" t="s">
        <v>111</v>
      </c>
      <c r="J870" s="72">
        <v>400</v>
      </c>
    </row>
    <row r="871" spans="1:10" ht="15" customHeight="1">
      <c r="A871" s="70">
        <v>44061</v>
      </c>
      <c r="B871" s="69" t="s">
        <v>930</v>
      </c>
      <c r="C871" s="69" t="s">
        <v>116</v>
      </c>
      <c r="D871" s="71">
        <v>41</v>
      </c>
      <c r="E871" s="69" t="s">
        <v>139</v>
      </c>
      <c r="F871" s="69" t="s">
        <v>105</v>
      </c>
      <c r="G871" s="69" t="s">
        <v>105</v>
      </c>
      <c r="H871" s="69" t="s">
        <v>128</v>
      </c>
      <c r="I871" s="69" t="s">
        <v>118</v>
      </c>
      <c r="J871" s="72">
        <v>400</v>
      </c>
    </row>
    <row r="872" spans="1:10" ht="15" customHeight="1">
      <c r="A872" s="70">
        <v>44061</v>
      </c>
      <c r="B872" s="69" t="s">
        <v>931</v>
      </c>
      <c r="C872" s="69" t="s">
        <v>103</v>
      </c>
      <c r="D872" s="71">
        <v>45</v>
      </c>
      <c r="E872" s="69" t="s">
        <v>104</v>
      </c>
      <c r="F872" s="69" t="s">
        <v>105</v>
      </c>
      <c r="G872" s="69" t="s">
        <v>105</v>
      </c>
      <c r="H872" s="69" t="s">
        <v>117</v>
      </c>
      <c r="I872" s="69" t="s">
        <v>118</v>
      </c>
      <c r="J872" s="72">
        <v>400</v>
      </c>
    </row>
    <row r="873" spans="1:10" ht="15" customHeight="1">
      <c r="A873" s="70">
        <v>44061</v>
      </c>
      <c r="B873" s="69" t="s">
        <v>932</v>
      </c>
      <c r="C873" s="69" t="s">
        <v>116</v>
      </c>
      <c r="D873" s="71">
        <v>57</v>
      </c>
      <c r="E873" s="69" t="s">
        <v>104</v>
      </c>
      <c r="F873" s="69" t="s">
        <v>120</v>
      </c>
      <c r="G873" s="69" t="s">
        <v>121</v>
      </c>
      <c r="H873" s="69" t="s">
        <v>117</v>
      </c>
      <c r="I873" s="69" t="s">
        <v>159</v>
      </c>
      <c r="J873" s="72">
        <v>78</v>
      </c>
    </row>
    <row r="874" spans="1:10" ht="15" customHeight="1">
      <c r="A874" s="70">
        <v>44062</v>
      </c>
      <c r="B874" s="69" t="s">
        <v>933</v>
      </c>
      <c r="C874" s="69" t="s">
        <v>116</v>
      </c>
      <c r="D874" s="71">
        <v>20</v>
      </c>
      <c r="E874" s="69" t="s">
        <v>109</v>
      </c>
      <c r="F874" s="69" t="s">
        <v>120</v>
      </c>
      <c r="G874" s="69" t="s">
        <v>121</v>
      </c>
      <c r="H874" s="69" t="s">
        <v>106</v>
      </c>
      <c r="I874" s="69" t="s">
        <v>114</v>
      </c>
      <c r="J874" s="72">
        <v>78</v>
      </c>
    </row>
    <row r="875" spans="1:10" ht="15" customHeight="1">
      <c r="A875" s="70">
        <v>44062</v>
      </c>
      <c r="B875" s="69" t="s">
        <v>934</v>
      </c>
      <c r="C875" s="69" t="s">
        <v>116</v>
      </c>
      <c r="D875" s="71">
        <v>57</v>
      </c>
      <c r="E875" s="69" t="s">
        <v>113</v>
      </c>
      <c r="F875" s="69" t="s">
        <v>105</v>
      </c>
      <c r="G875" s="69" t="s">
        <v>105</v>
      </c>
      <c r="H875" s="69" t="s">
        <v>145</v>
      </c>
      <c r="I875" s="69" t="s">
        <v>159</v>
      </c>
      <c r="J875" s="72">
        <v>400</v>
      </c>
    </row>
    <row r="876" spans="1:10" ht="15" customHeight="1">
      <c r="A876" s="70">
        <v>44062</v>
      </c>
      <c r="B876" s="69" t="s">
        <v>935</v>
      </c>
      <c r="C876" s="69" t="s">
        <v>116</v>
      </c>
      <c r="D876" s="71">
        <v>62</v>
      </c>
      <c r="E876" s="69" t="s">
        <v>139</v>
      </c>
      <c r="F876" s="69" t="s">
        <v>120</v>
      </c>
      <c r="G876" s="69" t="s">
        <v>125</v>
      </c>
      <c r="H876" s="69" t="s">
        <v>117</v>
      </c>
      <c r="I876" s="69" t="s">
        <v>114</v>
      </c>
      <c r="J876" s="72">
        <v>65</v>
      </c>
    </row>
    <row r="877" spans="1:10" ht="15" customHeight="1">
      <c r="A877" s="70">
        <v>44063</v>
      </c>
      <c r="B877" s="69" t="s">
        <v>936</v>
      </c>
      <c r="C877" s="69" t="s">
        <v>116</v>
      </c>
      <c r="D877" s="71">
        <v>74</v>
      </c>
      <c r="E877" s="69" t="s">
        <v>104</v>
      </c>
      <c r="F877" s="69" t="s">
        <v>105</v>
      </c>
      <c r="G877" s="69" t="s">
        <v>105</v>
      </c>
      <c r="H877" s="69" t="s">
        <v>131</v>
      </c>
      <c r="I877" s="69" t="s">
        <v>129</v>
      </c>
      <c r="J877" s="72">
        <v>400</v>
      </c>
    </row>
    <row r="878" spans="1:10" ht="15" customHeight="1">
      <c r="A878" s="70">
        <v>44064</v>
      </c>
      <c r="B878" s="69" t="s">
        <v>937</v>
      </c>
      <c r="C878" s="69" t="s">
        <v>103</v>
      </c>
      <c r="D878" s="71">
        <v>43</v>
      </c>
      <c r="E878" s="69" t="s">
        <v>104</v>
      </c>
      <c r="F878" s="69" t="s">
        <v>120</v>
      </c>
      <c r="G878" s="69" t="s">
        <v>125</v>
      </c>
      <c r="H878" s="69" t="s">
        <v>128</v>
      </c>
      <c r="I878" s="69" t="s">
        <v>129</v>
      </c>
      <c r="J878" s="72">
        <v>65</v>
      </c>
    </row>
    <row r="879" spans="1:10" ht="15" customHeight="1">
      <c r="A879" s="70">
        <v>44064</v>
      </c>
      <c r="B879" s="69" t="s">
        <v>782</v>
      </c>
      <c r="C879" s="69" t="s">
        <v>116</v>
      </c>
      <c r="D879" s="71">
        <v>71</v>
      </c>
      <c r="E879" s="69" t="s">
        <v>104</v>
      </c>
      <c r="F879" s="69" t="s">
        <v>120</v>
      </c>
      <c r="G879" s="69" t="s">
        <v>123</v>
      </c>
      <c r="H879" s="69" t="s">
        <v>145</v>
      </c>
      <c r="I879" s="69" t="s">
        <v>107</v>
      </c>
      <c r="J879" s="72">
        <v>90</v>
      </c>
    </row>
    <row r="880" spans="1:10" ht="15" customHeight="1">
      <c r="A880" s="70">
        <v>44064</v>
      </c>
      <c r="B880" s="69" t="s">
        <v>938</v>
      </c>
      <c r="C880" s="69" t="s">
        <v>103</v>
      </c>
      <c r="D880" s="71">
        <v>50</v>
      </c>
      <c r="E880" s="69" t="s">
        <v>113</v>
      </c>
      <c r="F880" s="69" t="s">
        <v>105</v>
      </c>
      <c r="G880" s="69" t="s">
        <v>105</v>
      </c>
      <c r="H880" s="69" t="s">
        <v>106</v>
      </c>
      <c r="I880" s="69" t="s">
        <v>107</v>
      </c>
      <c r="J880" s="72">
        <v>400</v>
      </c>
    </row>
    <row r="881" spans="1:10" ht="15" customHeight="1">
      <c r="A881" s="70">
        <v>44065</v>
      </c>
      <c r="B881" s="69" t="s">
        <v>939</v>
      </c>
      <c r="C881" s="69" t="s">
        <v>103</v>
      </c>
      <c r="D881" s="71">
        <v>56</v>
      </c>
      <c r="E881" s="69" t="s">
        <v>139</v>
      </c>
      <c r="F881" s="69" t="s">
        <v>105</v>
      </c>
      <c r="G881" s="69" t="s">
        <v>105</v>
      </c>
      <c r="H881" s="69" t="s">
        <v>145</v>
      </c>
      <c r="I881" s="69" t="s">
        <v>111</v>
      </c>
      <c r="J881" s="72">
        <v>400</v>
      </c>
    </row>
    <row r="882" spans="1:10" ht="15" customHeight="1">
      <c r="A882" s="70">
        <v>44065</v>
      </c>
      <c r="B882" s="69" t="s">
        <v>940</v>
      </c>
      <c r="C882" s="69" t="s">
        <v>116</v>
      </c>
      <c r="D882" s="71">
        <v>7</v>
      </c>
      <c r="E882" s="69" t="s">
        <v>109</v>
      </c>
      <c r="F882" s="69" t="s">
        <v>120</v>
      </c>
      <c r="G882" s="69" t="s">
        <v>123</v>
      </c>
      <c r="H882" s="69" t="s">
        <v>131</v>
      </c>
      <c r="I882" s="69" t="s">
        <v>118</v>
      </c>
      <c r="J882" s="72">
        <v>90</v>
      </c>
    </row>
    <row r="883" spans="1:10" ht="15" customHeight="1">
      <c r="A883" s="70">
        <v>44066</v>
      </c>
      <c r="B883" s="69" t="s">
        <v>941</v>
      </c>
      <c r="C883" s="69" t="s">
        <v>103</v>
      </c>
      <c r="D883" s="71">
        <v>7</v>
      </c>
      <c r="E883" s="69" t="s">
        <v>104</v>
      </c>
      <c r="F883" s="69" t="s">
        <v>120</v>
      </c>
      <c r="G883" s="69" t="s">
        <v>142</v>
      </c>
      <c r="H883" s="69" t="s">
        <v>106</v>
      </c>
      <c r="I883" s="69" t="s">
        <v>107</v>
      </c>
      <c r="J883" s="72">
        <v>52</v>
      </c>
    </row>
    <row r="884" spans="1:10" ht="15" customHeight="1">
      <c r="A884" s="70">
        <v>44066</v>
      </c>
      <c r="B884" s="69" t="s">
        <v>942</v>
      </c>
      <c r="C884" s="69" t="s">
        <v>116</v>
      </c>
      <c r="D884" s="71">
        <v>70</v>
      </c>
      <c r="E884" s="69" t="s">
        <v>139</v>
      </c>
      <c r="F884" s="69" t="s">
        <v>120</v>
      </c>
      <c r="G884" s="69" t="s">
        <v>121</v>
      </c>
      <c r="H884" s="69" t="s">
        <v>128</v>
      </c>
      <c r="I884" s="69" t="s">
        <v>118</v>
      </c>
      <c r="J884" s="72">
        <v>78</v>
      </c>
    </row>
    <row r="885" spans="1:10" ht="15" customHeight="1">
      <c r="A885" s="70">
        <v>44066</v>
      </c>
      <c r="B885" s="69" t="s">
        <v>943</v>
      </c>
      <c r="C885" s="69" t="s">
        <v>103</v>
      </c>
      <c r="D885" s="71">
        <v>53</v>
      </c>
      <c r="E885" s="69" t="s">
        <v>113</v>
      </c>
      <c r="F885" s="69" t="s">
        <v>105</v>
      </c>
      <c r="G885" s="69" t="s">
        <v>105</v>
      </c>
      <c r="H885" s="69" t="s">
        <v>137</v>
      </c>
      <c r="I885" s="69" t="s">
        <v>129</v>
      </c>
      <c r="J885" s="72">
        <v>400</v>
      </c>
    </row>
    <row r="886" spans="1:10" ht="15" customHeight="1">
      <c r="A886" s="70">
        <v>44066</v>
      </c>
      <c r="B886" s="69" t="s">
        <v>944</v>
      </c>
      <c r="C886" s="69" t="s">
        <v>116</v>
      </c>
      <c r="D886" s="71">
        <v>57</v>
      </c>
      <c r="E886" s="69" t="s">
        <v>113</v>
      </c>
      <c r="F886" s="69" t="s">
        <v>105</v>
      </c>
      <c r="G886" s="69" t="s">
        <v>105</v>
      </c>
      <c r="H886" s="69" t="s">
        <v>126</v>
      </c>
      <c r="I886" s="69" t="s">
        <v>111</v>
      </c>
      <c r="J886" s="72">
        <v>400</v>
      </c>
    </row>
    <row r="887" spans="1:10" ht="15" customHeight="1">
      <c r="A887" s="70">
        <v>44067</v>
      </c>
      <c r="B887" s="69" t="s">
        <v>945</v>
      </c>
      <c r="C887" s="69" t="s">
        <v>116</v>
      </c>
      <c r="D887" s="71">
        <v>24</v>
      </c>
      <c r="E887" s="69" t="s">
        <v>113</v>
      </c>
      <c r="F887" s="69" t="s">
        <v>120</v>
      </c>
      <c r="G887" s="69" t="s">
        <v>121</v>
      </c>
      <c r="H887" s="69" t="s">
        <v>128</v>
      </c>
      <c r="I887" s="69" t="s">
        <v>107</v>
      </c>
      <c r="J887" s="72">
        <v>78</v>
      </c>
    </row>
    <row r="888" spans="1:10" ht="15" customHeight="1">
      <c r="A888" s="70">
        <v>44067</v>
      </c>
      <c r="B888" s="69" t="s">
        <v>946</v>
      </c>
      <c r="C888" s="69" t="s">
        <v>103</v>
      </c>
      <c r="D888" s="71">
        <v>54</v>
      </c>
      <c r="E888" s="69" t="s">
        <v>139</v>
      </c>
      <c r="F888" s="69" t="s">
        <v>120</v>
      </c>
      <c r="G888" s="69" t="s">
        <v>121</v>
      </c>
      <c r="H888" s="69" t="s">
        <v>145</v>
      </c>
      <c r="I888" s="69" t="s">
        <v>129</v>
      </c>
      <c r="J888" s="72">
        <v>78</v>
      </c>
    </row>
    <row r="889" spans="1:10" ht="15" customHeight="1">
      <c r="A889" s="70">
        <v>44067</v>
      </c>
      <c r="B889" s="69" t="s">
        <v>795</v>
      </c>
      <c r="C889" s="69" t="s">
        <v>116</v>
      </c>
      <c r="D889" s="71">
        <v>60</v>
      </c>
      <c r="E889" s="69" t="s">
        <v>139</v>
      </c>
      <c r="F889" s="69" t="s">
        <v>105</v>
      </c>
      <c r="G889" s="69" t="s">
        <v>105</v>
      </c>
      <c r="H889" s="69" t="s">
        <v>110</v>
      </c>
      <c r="I889" s="69" t="s">
        <v>107</v>
      </c>
      <c r="J889" s="72">
        <v>400</v>
      </c>
    </row>
    <row r="890" spans="1:10" ht="15" customHeight="1">
      <c r="A890" s="70">
        <v>44067</v>
      </c>
      <c r="B890" s="69" t="s">
        <v>947</v>
      </c>
      <c r="C890" s="69" t="s">
        <v>103</v>
      </c>
      <c r="D890" s="71">
        <v>63</v>
      </c>
      <c r="E890" s="69" t="s">
        <v>139</v>
      </c>
      <c r="F890" s="69" t="s">
        <v>105</v>
      </c>
      <c r="G890" s="69" t="s">
        <v>105</v>
      </c>
      <c r="H890" s="69" t="s">
        <v>117</v>
      </c>
      <c r="I890" s="69" t="s">
        <v>129</v>
      </c>
      <c r="J890" s="72">
        <v>400</v>
      </c>
    </row>
    <row r="891" spans="1:10" ht="15" customHeight="1">
      <c r="A891" s="70">
        <v>44067</v>
      </c>
      <c r="B891" s="69" t="s">
        <v>948</v>
      </c>
      <c r="C891" s="69" t="s">
        <v>103</v>
      </c>
      <c r="D891" s="71">
        <v>44</v>
      </c>
      <c r="E891" s="69" t="s">
        <v>113</v>
      </c>
      <c r="F891" s="69" t="s">
        <v>120</v>
      </c>
      <c r="G891" s="69" t="s">
        <v>121</v>
      </c>
      <c r="H891" s="69" t="s">
        <v>110</v>
      </c>
      <c r="I891" s="69" t="s">
        <v>118</v>
      </c>
      <c r="J891" s="72">
        <v>78</v>
      </c>
    </row>
    <row r="892" spans="1:10" ht="15" customHeight="1">
      <c r="A892" s="70">
        <v>44067</v>
      </c>
      <c r="B892" s="69" t="s">
        <v>949</v>
      </c>
      <c r="C892" s="69" t="s">
        <v>103</v>
      </c>
      <c r="D892" s="71">
        <v>33</v>
      </c>
      <c r="E892" s="69" t="s">
        <v>139</v>
      </c>
      <c r="F892" s="69" t="s">
        <v>105</v>
      </c>
      <c r="G892" s="69" t="s">
        <v>105</v>
      </c>
      <c r="H892" s="69" t="s">
        <v>110</v>
      </c>
      <c r="I892" s="69" t="s">
        <v>159</v>
      </c>
      <c r="J892" s="72">
        <v>400</v>
      </c>
    </row>
    <row r="893" spans="1:10" ht="15" customHeight="1">
      <c r="A893" s="70">
        <v>44067</v>
      </c>
      <c r="B893" s="69" t="s">
        <v>950</v>
      </c>
      <c r="C893" s="69" t="s">
        <v>116</v>
      </c>
      <c r="D893" s="71">
        <v>8</v>
      </c>
      <c r="E893" s="69" t="s">
        <v>113</v>
      </c>
      <c r="F893" s="69" t="s">
        <v>120</v>
      </c>
      <c r="G893" s="69" t="s">
        <v>125</v>
      </c>
      <c r="H893" s="69" t="s">
        <v>131</v>
      </c>
      <c r="I893" s="69" t="s">
        <v>118</v>
      </c>
      <c r="J893" s="72">
        <v>65</v>
      </c>
    </row>
    <row r="894" spans="1:10" ht="15" customHeight="1">
      <c r="A894" s="70">
        <v>44068</v>
      </c>
      <c r="B894" s="69" t="s">
        <v>951</v>
      </c>
      <c r="C894" s="69" t="s">
        <v>116</v>
      </c>
      <c r="D894" s="71">
        <v>25</v>
      </c>
      <c r="E894" s="69" t="s">
        <v>113</v>
      </c>
      <c r="F894" s="69" t="s">
        <v>105</v>
      </c>
      <c r="G894" s="69" t="s">
        <v>105</v>
      </c>
      <c r="H894" s="69" t="s">
        <v>137</v>
      </c>
      <c r="I894" s="69" t="s">
        <v>111</v>
      </c>
      <c r="J894" s="72">
        <v>400</v>
      </c>
    </row>
    <row r="895" spans="1:10" ht="15" customHeight="1">
      <c r="A895" s="70">
        <v>44068</v>
      </c>
      <c r="B895" s="69" t="s">
        <v>952</v>
      </c>
      <c r="C895" s="69" t="s">
        <v>103</v>
      </c>
      <c r="D895" s="71">
        <v>4</v>
      </c>
      <c r="E895" s="69" t="s">
        <v>109</v>
      </c>
      <c r="F895" s="69" t="s">
        <v>120</v>
      </c>
      <c r="G895" s="69" t="s">
        <v>121</v>
      </c>
      <c r="H895" s="69" t="s">
        <v>117</v>
      </c>
      <c r="I895" s="69" t="s">
        <v>118</v>
      </c>
      <c r="J895" s="72">
        <v>78</v>
      </c>
    </row>
    <row r="896" spans="1:10" ht="15" customHeight="1">
      <c r="A896" s="70">
        <v>44068</v>
      </c>
      <c r="B896" s="69" t="s">
        <v>890</v>
      </c>
      <c r="C896" s="69" t="s">
        <v>103</v>
      </c>
      <c r="D896" s="71">
        <v>68</v>
      </c>
      <c r="E896" s="69" t="s">
        <v>104</v>
      </c>
      <c r="F896" s="69" t="s">
        <v>105</v>
      </c>
      <c r="G896" s="69" t="s">
        <v>105</v>
      </c>
      <c r="H896" s="69" t="s">
        <v>117</v>
      </c>
      <c r="I896" s="69" t="s">
        <v>118</v>
      </c>
      <c r="J896" s="72">
        <v>400</v>
      </c>
    </row>
    <row r="897" spans="1:10" ht="15" customHeight="1">
      <c r="A897" s="70">
        <v>44068</v>
      </c>
      <c r="B897" s="69" t="s">
        <v>953</v>
      </c>
      <c r="C897" s="69" t="s">
        <v>103</v>
      </c>
      <c r="D897" s="71">
        <v>72</v>
      </c>
      <c r="E897" s="69" t="s">
        <v>104</v>
      </c>
      <c r="F897" s="69" t="s">
        <v>120</v>
      </c>
      <c r="G897" s="69" t="s">
        <v>121</v>
      </c>
      <c r="H897" s="69" t="s">
        <v>137</v>
      </c>
      <c r="I897" s="69" t="s">
        <v>159</v>
      </c>
      <c r="J897" s="72">
        <v>78</v>
      </c>
    </row>
    <row r="898" spans="1:10" ht="15" customHeight="1">
      <c r="A898" s="70">
        <v>44068</v>
      </c>
      <c r="B898" s="69" t="s">
        <v>954</v>
      </c>
      <c r="C898" s="69" t="s">
        <v>103</v>
      </c>
      <c r="D898" s="71">
        <v>48</v>
      </c>
      <c r="E898" s="69" t="s">
        <v>104</v>
      </c>
      <c r="F898" s="69" t="s">
        <v>120</v>
      </c>
      <c r="G898" s="69" t="s">
        <v>121</v>
      </c>
      <c r="H898" s="69" t="s">
        <v>128</v>
      </c>
      <c r="I898" s="69" t="s">
        <v>129</v>
      </c>
      <c r="J898" s="72">
        <v>78</v>
      </c>
    </row>
    <row r="899" spans="1:10" ht="15" customHeight="1">
      <c r="A899" s="70">
        <v>44069</v>
      </c>
      <c r="B899" s="69" t="s">
        <v>955</v>
      </c>
      <c r="C899" s="69" t="s">
        <v>103</v>
      </c>
      <c r="D899" s="71">
        <v>29</v>
      </c>
      <c r="E899" s="69" t="s">
        <v>113</v>
      </c>
      <c r="F899" s="69" t="s">
        <v>105</v>
      </c>
      <c r="G899" s="69" t="s">
        <v>105</v>
      </c>
      <c r="H899" s="69" t="s">
        <v>137</v>
      </c>
      <c r="I899" s="69" t="s">
        <v>114</v>
      </c>
      <c r="J899" s="72">
        <v>400</v>
      </c>
    </row>
    <row r="900" spans="1:10" ht="15" customHeight="1">
      <c r="A900" s="70">
        <v>44069</v>
      </c>
      <c r="B900" s="69" t="s">
        <v>956</v>
      </c>
      <c r="C900" s="69" t="s">
        <v>103</v>
      </c>
      <c r="D900" s="71">
        <v>48</v>
      </c>
      <c r="E900" s="69" t="s">
        <v>104</v>
      </c>
      <c r="F900" s="69" t="s">
        <v>105</v>
      </c>
      <c r="G900" s="69" t="s">
        <v>105</v>
      </c>
      <c r="H900" s="69" t="s">
        <v>110</v>
      </c>
      <c r="I900" s="69" t="s">
        <v>129</v>
      </c>
      <c r="J900" s="72">
        <v>400</v>
      </c>
    </row>
    <row r="901" spans="1:10" ht="15" customHeight="1">
      <c r="A901" s="70">
        <v>44069</v>
      </c>
      <c r="B901" s="69" t="s">
        <v>806</v>
      </c>
      <c r="C901" s="69" t="s">
        <v>116</v>
      </c>
      <c r="D901" s="71">
        <v>52</v>
      </c>
      <c r="E901" s="69" t="s">
        <v>113</v>
      </c>
      <c r="F901" s="69" t="s">
        <v>105</v>
      </c>
      <c r="G901" s="69" t="s">
        <v>105</v>
      </c>
      <c r="H901" s="69" t="s">
        <v>137</v>
      </c>
      <c r="I901" s="69" t="s">
        <v>114</v>
      </c>
      <c r="J901" s="72">
        <v>400</v>
      </c>
    </row>
    <row r="902" spans="1:10" ht="15" customHeight="1">
      <c r="A902" s="70">
        <v>44069</v>
      </c>
      <c r="B902" s="69" t="s">
        <v>951</v>
      </c>
      <c r="C902" s="69" t="s">
        <v>116</v>
      </c>
      <c r="D902" s="71">
        <v>24</v>
      </c>
      <c r="E902" s="69" t="s">
        <v>139</v>
      </c>
      <c r="F902" s="69" t="s">
        <v>105</v>
      </c>
      <c r="G902" s="69" t="s">
        <v>105</v>
      </c>
      <c r="H902" s="69" t="s">
        <v>110</v>
      </c>
      <c r="I902" s="69" t="s">
        <v>118</v>
      </c>
      <c r="J902" s="72">
        <v>400</v>
      </c>
    </row>
    <row r="903" spans="1:10" ht="15" customHeight="1">
      <c r="A903" s="70">
        <v>44069</v>
      </c>
      <c r="B903" s="69" t="s">
        <v>957</v>
      </c>
      <c r="C903" s="69" t="s">
        <v>116</v>
      </c>
      <c r="D903" s="71">
        <v>52</v>
      </c>
      <c r="E903" s="69" t="s">
        <v>113</v>
      </c>
      <c r="F903" s="69" t="s">
        <v>105</v>
      </c>
      <c r="G903" s="69" t="s">
        <v>105</v>
      </c>
      <c r="H903" s="69" t="s">
        <v>128</v>
      </c>
      <c r="I903" s="69" t="s">
        <v>107</v>
      </c>
      <c r="J903" s="72">
        <v>400</v>
      </c>
    </row>
    <row r="904" spans="1:10" ht="15" customHeight="1">
      <c r="A904" s="70">
        <v>44069</v>
      </c>
      <c r="B904" s="69" t="s">
        <v>958</v>
      </c>
      <c r="C904" s="69" t="s">
        <v>103</v>
      </c>
      <c r="D904" s="71">
        <v>48</v>
      </c>
      <c r="E904" s="69" t="s">
        <v>113</v>
      </c>
      <c r="F904" s="69" t="s">
        <v>120</v>
      </c>
      <c r="G904" s="69" t="s">
        <v>123</v>
      </c>
      <c r="H904" s="69" t="s">
        <v>145</v>
      </c>
      <c r="I904" s="69" t="s">
        <v>111</v>
      </c>
      <c r="J904" s="72">
        <v>90</v>
      </c>
    </row>
    <row r="905" spans="1:10" ht="15" customHeight="1">
      <c r="A905" s="70">
        <v>44069</v>
      </c>
      <c r="B905" s="69" t="s">
        <v>959</v>
      </c>
      <c r="C905" s="69" t="s">
        <v>103</v>
      </c>
      <c r="D905" s="71">
        <v>29</v>
      </c>
      <c r="E905" s="69" t="s">
        <v>104</v>
      </c>
      <c r="F905" s="69" t="s">
        <v>120</v>
      </c>
      <c r="G905" s="69" t="s">
        <v>125</v>
      </c>
      <c r="H905" s="69" t="s">
        <v>128</v>
      </c>
      <c r="I905" s="69" t="s">
        <v>129</v>
      </c>
      <c r="J905" s="72">
        <v>65</v>
      </c>
    </row>
    <row r="906" spans="1:10" ht="15" customHeight="1">
      <c r="A906" s="70">
        <v>44069</v>
      </c>
      <c r="B906" s="69" t="s">
        <v>960</v>
      </c>
      <c r="C906" s="69" t="s">
        <v>103</v>
      </c>
      <c r="D906" s="71">
        <v>59</v>
      </c>
      <c r="E906" s="69" t="s">
        <v>104</v>
      </c>
      <c r="F906" s="69" t="s">
        <v>105</v>
      </c>
      <c r="G906" s="69" t="s">
        <v>105</v>
      </c>
      <c r="H906" s="69" t="s">
        <v>137</v>
      </c>
      <c r="I906" s="69" t="s">
        <v>114</v>
      </c>
      <c r="J906" s="72">
        <v>400</v>
      </c>
    </row>
    <row r="907" spans="1:10" ht="15" customHeight="1">
      <c r="A907" s="70">
        <v>44069</v>
      </c>
      <c r="B907" s="69" t="s">
        <v>961</v>
      </c>
      <c r="C907" s="69" t="s">
        <v>103</v>
      </c>
      <c r="D907" s="71">
        <v>73</v>
      </c>
      <c r="E907" s="69" t="s">
        <v>113</v>
      </c>
      <c r="F907" s="69" t="s">
        <v>105</v>
      </c>
      <c r="G907" s="69" t="s">
        <v>105</v>
      </c>
      <c r="H907" s="69" t="s">
        <v>128</v>
      </c>
      <c r="I907" s="69" t="s">
        <v>129</v>
      </c>
      <c r="J907" s="72">
        <v>400</v>
      </c>
    </row>
    <row r="908" spans="1:10" ht="15" customHeight="1">
      <c r="A908" s="70">
        <v>44071</v>
      </c>
      <c r="B908" s="69" t="s">
        <v>962</v>
      </c>
      <c r="C908" s="69" t="s">
        <v>116</v>
      </c>
      <c r="D908" s="71">
        <v>26</v>
      </c>
      <c r="E908" s="69" t="s">
        <v>109</v>
      </c>
      <c r="F908" s="69" t="s">
        <v>105</v>
      </c>
      <c r="G908" s="69" t="s">
        <v>105</v>
      </c>
      <c r="H908" s="69" t="s">
        <v>128</v>
      </c>
      <c r="I908" s="69" t="s">
        <v>114</v>
      </c>
      <c r="J908" s="72">
        <v>400</v>
      </c>
    </row>
    <row r="909" spans="1:10" ht="15" customHeight="1">
      <c r="A909" s="70">
        <v>44071</v>
      </c>
      <c r="B909" s="69" t="s">
        <v>425</v>
      </c>
      <c r="C909" s="69" t="s">
        <v>116</v>
      </c>
      <c r="D909" s="71">
        <v>74</v>
      </c>
      <c r="E909" s="69" t="s">
        <v>113</v>
      </c>
      <c r="F909" s="69" t="s">
        <v>105</v>
      </c>
      <c r="G909" s="69" t="s">
        <v>105</v>
      </c>
      <c r="H909" s="69" t="s">
        <v>128</v>
      </c>
      <c r="I909" s="69" t="s">
        <v>129</v>
      </c>
      <c r="J909" s="72">
        <v>400</v>
      </c>
    </row>
    <row r="910" spans="1:10" ht="15" customHeight="1">
      <c r="A910" s="70">
        <v>44071</v>
      </c>
      <c r="B910" s="69" t="s">
        <v>963</v>
      </c>
      <c r="C910" s="69" t="s">
        <v>103</v>
      </c>
      <c r="D910" s="71">
        <v>34</v>
      </c>
      <c r="E910" s="69" t="s">
        <v>109</v>
      </c>
      <c r="F910" s="69" t="s">
        <v>105</v>
      </c>
      <c r="G910" s="69" t="s">
        <v>105</v>
      </c>
      <c r="H910" s="69" t="s">
        <v>106</v>
      </c>
      <c r="I910" s="69" t="s">
        <v>118</v>
      </c>
      <c r="J910" s="72">
        <v>400</v>
      </c>
    </row>
    <row r="911" spans="1:10" ht="15" customHeight="1">
      <c r="A911" s="70">
        <v>44071</v>
      </c>
      <c r="B911" s="69" t="s">
        <v>964</v>
      </c>
      <c r="C911" s="69" t="s">
        <v>116</v>
      </c>
      <c r="D911" s="71">
        <v>13</v>
      </c>
      <c r="E911" s="69" t="s">
        <v>113</v>
      </c>
      <c r="F911" s="69" t="s">
        <v>105</v>
      </c>
      <c r="G911" s="69" t="s">
        <v>105</v>
      </c>
      <c r="H911" s="69" t="s">
        <v>106</v>
      </c>
      <c r="I911" s="69" t="s">
        <v>114</v>
      </c>
      <c r="J911" s="72">
        <v>400</v>
      </c>
    </row>
    <row r="912" spans="1:10" ht="15" customHeight="1">
      <c r="A912" s="70">
        <v>44072</v>
      </c>
      <c r="B912" s="69" t="s">
        <v>965</v>
      </c>
      <c r="C912" s="69" t="s">
        <v>116</v>
      </c>
      <c r="D912" s="71">
        <v>5</v>
      </c>
      <c r="E912" s="69" t="s">
        <v>104</v>
      </c>
      <c r="F912" s="69" t="s">
        <v>105</v>
      </c>
      <c r="G912" s="69" t="s">
        <v>105</v>
      </c>
      <c r="H912" s="69" t="s">
        <v>145</v>
      </c>
      <c r="I912" s="69" t="s">
        <v>107</v>
      </c>
      <c r="J912" s="72">
        <v>400</v>
      </c>
    </row>
    <row r="913" spans="1:10" ht="15" customHeight="1">
      <c r="A913" s="70">
        <v>44072</v>
      </c>
      <c r="B913" s="69" t="s">
        <v>966</v>
      </c>
      <c r="C913" s="69" t="s">
        <v>116</v>
      </c>
      <c r="D913" s="71">
        <v>46</v>
      </c>
      <c r="E913" s="69" t="s">
        <v>109</v>
      </c>
      <c r="F913" s="69" t="s">
        <v>120</v>
      </c>
      <c r="G913" s="69" t="s">
        <v>121</v>
      </c>
      <c r="H913" s="69" t="s">
        <v>131</v>
      </c>
      <c r="I913" s="69" t="s">
        <v>107</v>
      </c>
      <c r="J913" s="72">
        <v>78</v>
      </c>
    </row>
    <row r="914" spans="1:10" ht="15" customHeight="1">
      <c r="A914" s="70">
        <v>44072</v>
      </c>
      <c r="B914" s="69" t="s">
        <v>967</v>
      </c>
      <c r="C914" s="69" t="s">
        <v>103</v>
      </c>
      <c r="D914" s="71">
        <v>0</v>
      </c>
      <c r="E914" s="69" t="s">
        <v>139</v>
      </c>
      <c r="F914" s="69" t="s">
        <v>120</v>
      </c>
      <c r="G914" s="69" t="s">
        <v>121</v>
      </c>
      <c r="H914" s="69" t="s">
        <v>110</v>
      </c>
      <c r="I914" s="69" t="s">
        <v>107</v>
      </c>
      <c r="J914" s="72">
        <v>78</v>
      </c>
    </row>
    <row r="915" spans="1:10" ht="15" customHeight="1">
      <c r="A915" s="70">
        <v>44072</v>
      </c>
      <c r="B915" s="69" t="s">
        <v>968</v>
      </c>
      <c r="C915" s="69" t="s">
        <v>116</v>
      </c>
      <c r="D915" s="71">
        <v>4</v>
      </c>
      <c r="E915" s="69" t="s">
        <v>109</v>
      </c>
      <c r="F915" s="69" t="s">
        <v>105</v>
      </c>
      <c r="G915" s="69" t="s">
        <v>105</v>
      </c>
      <c r="H915" s="69" t="s">
        <v>137</v>
      </c>
      <c r="I915" s="69" t="s">
        <v>118</v>
      </c>
      <c r="J915" s="72">
        <v>400</v>
      </c>
    </row>
    <row r="916" spans="1:10" ht="15" customHeight="1">
      <c r="A916" s="70">
        <v>44072</v>
      </c>
      <c r="B916" s="69" t="s">
        <v>964</v>
      </c>
      <c r="C916" s="69" t="s">
        <v>103</v>
      </c>
      <c r="D916" s="71">
        <v>51</v>
      </c>
      <c r="E916" s="69" t="s">
        <v>109</v>
      </c>
      <c r="F916" s="69" t="s">
        <v>105</v>
      </c>
      <c r="G916" s="69" t="s">
        <v>105</v>
      </c>
      <c r="H916" s="69" t="s">
        <v>110</v>
      </c>
      <c r="I916" s="69" t="s">
        <v>107</v>
      </c>
      <c r="J916" s="72">
        <v>400</v>
      </c>
    </row>
    <row r="917" spans="1:10" ht="15" customHeight="1">
      <c r="A917" s="70">
        <v>44072</v>
      </c>
      <c r="B917" s="69" t="s">
        <v>188</v>
      </c>
      <c r="C917" s="69" t="s">
        <v>116</v>
      </c>
      <c r="D917" s="71">
        <v>62</v>
      </c>
      <c r="E917" s="69" t="s">
        <v>139</v>
      </c>
      <c r="F917" s="69" t="s">
        <v>105</v>
      </c>
      <c r="G917" s="69" t="s">
        <v>105</v>
      </c>
      <c r="H917" s="69" t="s">
        <v>110</v>
      </c>
      <c r="I917" s="69" t="s">
        <v>118</v>
      </c>
      <c r="J917" s="72">
        <v>400</v>
      </c>
    </row>
    <row r="918" spans="1:10" ht="15" customHeight="1">
      <c r="A918" s="70">
        <v>44073</v>
      </c>
      <c r="B918" s="69" t="s">
        <v>969</v>
      </c>
      <c r="C918" s="69" t="s">
        <v>116</v>
      </c>
      <c r="D918" s="71">
        <v>10</v>
      </c>
      <c r="E918" s="69" t="s">
        <v>109</v>
      </c>
      <c r="F918" s="69" t="s">
        <v>105</v>
      </c>
      <c r="G918" s="69" t="s">
        <v>105</v>
      </c>
      <c r="H918" s="69" t="s">
        <v>145</v>
      </c>
      <c r="I918" s="69" t="s">
        <v>159</v>
      </c>
      <c r="J918" s="72">
        <v>400</v>
      </c>
    </row>
    <row r="919" spans="1:10" ht="15" customHeight="1">
      <c r="A919" s="70">
        <v>44073</v>
      </c>
      <c r="B919" s="69" t="s">
        <v>970</v>
      </c>
      <c r="C919" s="69" t="s">
        <v>103</v>
      </c>
      <c r="D919" s="71">
        <v>5</v>
      </c>
      <c r="E919" s="69" t="s">
        <v>139</v>
      </c>
      <c r="F919" s="69" t="s">
        <v>120</v>
      </c>
      <c r="G919" s="69" t="s">
        <v>121</v>
      </c>
      <c r="H919" s="69" t="s">
        <v>117</v>
      </c>
      <c r="I919" s="69" t="s">
        <v>114</v>
      </c>
      <c r="J919" s="72">
        <v>78</v>
      </c>
    </row>
    <row r="920" spans="1:10" ht="15" customHeight="1">
      <c r="A920" s="70">
        <v>44073</v>
      </c>
      <c r="B920" s="69" t="s">
        <v>971</v>
      </c>
      <c r="C920" s="69" t="s">
        <v>103</v>
      </c>
      <c r="D920" s="71">
        <v>60</v>
      </c>
      <c r="E920" s="69" t="s">
        <v>109</v>
      </c>
      <c r="F920" s="69" t="s">
        <v>105</v>
      </c>
      <c r="G920" s="69" t="s">
        <v>105</v>
      </c>
      <c r="H920" s="69" t="s">
        <v>145</v>
      </c>
      <c r="I920" s="69" t="s">
        <v>118</v>
      </c>
      <c r="J920" s="72">
        <v>400</v>
      </c>
    </row>
    <row r="921" spans="1:10" ht="15" customHeight="1">
      <c r="A921" s="70">
        <v>44073</v>
      </c>
      <c r="B921" s="69" t="s">
        <v>972</v>
      </c>
      <c r="C921" s="69" t="s">
        <v>103</v>
      </c>
      <c r="D921" s="71">
        <v>11</v>
      </c>
      <c r="E921" s="69" t="s">
        <v>104</v>
      </c>
      <c r="F921" s="69" t="s">
        <v>120</v>
      </c>
      <c r="G921" s="69" t="s">
        <v>121</v>
      </c>
      <c r="H921" s="69" t="s">
        <v>137</v>
      </c>
      <c r="I921" s="69" t="s">
        <v>129</v>
      </c>
      <c r="J921" s="72">
        <v>78</v>
      </c>
    </row>
    <row r="922" spans="1:10" ht="15" customHeight="1">
      <c r="A922" s="70">
        <v>44073</v>
      </c>
      <c r="B922" s="69" t="s">
        <v>379</v>
      </c>
      <c r="C922" s="69" t="s">
        <v>116</v>
      </c>
      <c r="D922" s="71">
        <v>37</v>
      </c>
      <c r="E922" s="69" t="s">
        <v>113</v>
      </c>
      <c r="F922" s="69" t="s">
        <v>120</v>
      </c>
      <c r="G922" s="69" t="s">
        <v>142</v>
      </c>
      <c r="H922" s="69" t="s">
        <v>137</v>
      </c>
      <c r="I922" s="69" t="s">
        <v>118</v>
      </c>
      <c r="J922" s="72">
        <v>52</v>
      </c>
    </row>
    <row r="923" spans="1:10" ht="15" customHeight="1">
      <c r="A923" s="70">
        <v>44073</v>
      </c>
      <c r="B923" s="69" t="s">
        <v>973</v>
      </c>
      <c r="C923" s="69" t="s">
        <v>116</v>
      </c>
      <c r="D923" s="71">
        <v>44</v>
      </c>
      <c r="E923" s="69" t="s">
        <v>109</v>
      </c>
      <c r="F923" s="69" t="s">
        <v>105</v>
      </c>
      <c r="G923" s="69" t="s">
        <v>105</v>
      </c>
      <c r="H923" s="69" t="s">
        <v>106</v>
      </c>
      <c r="I923" s="69" t="s">
        <v>114</v>
      </c>
      <c r="J923" s="72">
        <v>400</v>
      </c>
    </row>
    <row r="924" spans="1:10" ht="15" customHeight="1">
      <c r="A924" s="70">
        <v>44074</v>
      </c>
      <c r="B924" s="69" t="s">
        <v>974</v>
      </c>
      <c r="C924" s="69" t="s">
        <v>103</v>
      </c>
      <c r="D924" s="71">
        <v>68</v>
      </c>
      <c r="E924" s="69" t="s">
        <v>139</v>
      </c>
      <c r="F924" s="69" t="s">
        <v>105</v>
      </c>
      <c r="G924" s="69" t="s">
        <v>105</v>
      </c>
      <c r="H924" s="69" t="s">
        <v>145</v>
      </c>
      <c r="I924" s="69" t="s">
        <v>114</v>
      </c>
      <c r="J924" s="72">
        <v>400</v>
      </c>
    </row>
    <row r="925" spans="1:10" ht="15" customHeight="1">
      <c r="A925" s="70">
        <v>44074</v>
      </c>
      <c r="B925" s="69" t="s">
        <v>975</v>
      </c>
      <c r="C925" s="69" t="s">
        <v>103</v>
      </c>
      <c r="D925" s="71">
        <v>63</v>
      </c>
      <c r="E925" s="69" t="s">
        <v>113</v>
      </c>
      <c r="F925" s="69" t="s">
        <v>105</v>
      </c>
      <c r="G925" s="69" t="s">
        <v>105</v>
      </c>
      <c r="H925" s="69" t="s">
        <v>137</v>
      </c>
      <c r="I925" s="69" t="s">
        <v>111</v>
      </c>
      <c r="J925" s="72">
        <v>400</v>
      </c>
    </row>
    <row r="926" spans="1:10" ht="15" customHeight="1">
      <c r="A926" s="70">
        <v>44074</v>
      </c>
      <c r="B926" s="69" t="s">
        <v>976</v>
      </c>
      <c r="C926" s="69" t="s">
        <v>116</v>
      </c>
      <c r="D926" s="71">
        <v>75</v>
      </c>
      <c r="E926" s="69" t="s">
        <v>113</v>
      </c>
      <c r="F926" s="69" t="s">
        <v>120</v>
      </c>
      <c r="G926" s="69" t="s">
        <v>121</v>
      </c>
      <c r="H926" s="69" t="s">
        <v>106</v>
      </c>
      <c r="I926" s="69" t="s">
        <v>118</v>
      </c>
      <c r="J926" s="72">
        <v>78</v>
      </c>
    </row>
    <row r="927" spans="1:10" ht="15" customHeight="1">
      <c r="A927" s="70">
        <v>44074</v>
      </c>
      <c r="B927" s="69" t="s">
        <v>169</v>
      </c>
      <c r="C927" s="69" t="s">
        <v>103</v>
      </c>
      <c r="D927" s="71">
        <v>51</v>
      </c>
      <c r="E927" s="69" t="s">
        <v>104</v>
      </c>
      <c r="F927" s="69" t="s">
        <v>105</v>
      </c>
      <c r="G927" s="69" t="s">
        <v>105</v>
      </c>
      <c r="H927" s="69" t="s">
        <v>128</v>
      </c>
      <c r="I927" s="69" t="s">
        <v>114</v>
      </c>
      <c r="J927" s="72">
        <v>400</v>
      </c>
    </row>
    <row r="928" spans="1:10" ht="15" customHeight="1">
      <c r="A928" s="70">
        <v>44074</v>
      </c>
      <c r="B928" s="69" t="s">
        <v>266</v>
      </c>
      <c r="C928" s="69" t="s">
        <v>116</v>
      </c>
      <c r="D928" s="71">
        <v>50</v>
      </c>
      <c r="E928" s="69" t="s">
        <v>104</v>
      </c>
      <c r="F928" s="69" t="s">
        <v>120</v>
      </c>
      <c r="G928" s="69" t="s">
        <v>121</v>
      </c>
      <c r="H928" s="69" t="s">
        <v>131</v>
      </c>
      <c r="I928" s="69" t="s">
        <v>114</v>
      </c>
      <c r="J928" s="72">
        <v>78</v>
      </c>
    </row>
    <row r="929" spans="1:10" ht="15" customHeight="1">
      <c r="A929" s="70">
        <v>44074</v>
      </c>
      <c r="B929" s="69" t="s">
        <v>977</v>
      </c>
      <c r="C929" s="69" t="s">
        <v>103</v>
      </c>
      <c r="D929" s="71">
        <v>22</v>
      </c>
      <c r="E929" s="69" t="s">
        <v>139</v>
      </c>
      <c r="F929" s="69" t="s">
        <v>105</v>
      </c>
      <c r="G929" s="69" t="s">
        <v>105</v>
      </c>
      <c r="H929" s="69" t="s">
        <v>110</v>
      </c>
      <c r="I929" s="69" t="s">
        <v>159</v>
      </c>
      <c r="J929" s="72">
        <v>400</v>
      </c>
    </row>
    <row r="930" spans="1:10" ht="15" customHeight="1">
      <c r="A930" s="70">
        <v>44074</v>
      </c>
      <c r="B930" s="69" t="s">
        <v>978</v>
      </c>
      <c r="C930" s="69" t="s">
        <v>116</v>
      </c>
      <c r="D930" s="71">
        <v>37</v>
      </c>
      <c r="E930" s="69" t="s">
        <v>104</v>
      </c>
      <c r="F930" s="69" t="s">
        <v>120</v>
      </c>
      <c r="G930" s="69" t="s">
        <v>123</v>
      </c>
      <c r="H930" s="69" t="s">
        <v>137</v>
      </c>
      <c r="I930" s="69" t="s">
        <v>114</v>
      </c>
      <c r="J930" s="72">
        <v>90</v>
      </c>
    </row>
    <row r="931" spans="1:10" ht="15" customHeight="1">
      <c r="A931" s="70">
        <v>44075</v>
      </c>
      <c r="B931" s="69" t="s">
        <v>979</v>
      </c>
      <c r="C931" s="69" t="s">
        <v>103</v>
      </c>
      <c r="D931" s="71">
        <v>33</v>
      </c>
      <c r="E931" s="69" t="s">
        <v>104</v>
      </c>
      <c r="F931" s="69" t="s">
        <v>105</v>
      </c>
      <c r="G931" s="69" t="s">
        <v>105</v>
      </c>
      <c r="H931" s="69" t="s">
        <v>117</v>
      </c>
      <c r="I931" s="69" t="s">
        <v>159</v>
      </c>
      <c r="J931" s="72">
        <v>400</v>
      </c>
    </row>
    <row r="932" spans="1:10" ht="15" customHeight="1">
      <c r="A932" s="70">
        <v>44075</v>
      </c>
      <c r="B932" s="69" t="s">
        <v>980</v>
      </c>
      <c r="C932" s="69" t="s">
        <v>116</v>
      </c>
      <c r="D932" s="71">
        <v>62</v>
      </c>
      <c r="E932" s="69" t="s">
        <v>139</v>
      </c>
      <c r="F932" s="69" t="s">
        <v>120</v>
      </c>
      <c r="G932" s="69" t="s">
        <v>125</v>
      </c>
      <c r="H932" s="69" t="s">
        <v>117</v>
      </c>
      <c r="I932" s="69" t="s">
        <v>114</v>
      </c>
      <c r="J932" s="72">
        <v>65</v>
      </c>
    </row>
    <row r="933" spans="1:10" ht="15" customHeight="1">
      <c r="A933" s="70">
        <v>44075</v>
      </c>
      <c r="B933" s="69" t="s">
        <v>981</v>
      </c>
      <c r="C933" s="69" t="s">
        <v>116</v>
      </c>
      <c r="D933" s="71">
        <v>26</v>
      </c>
      <c r="E933" s="69" t="s">
        <v>113</v>
      </c>
      <c r="F933" s="69" t="s">
        <v>120</v>
      </c>
      <c r="G933" s="69" t="s">
        <v>125</v>
      </c>
      <c r="H933" s="69" t="s">
        <v>131</v>
      </c>
      <c r="I933" s="69" t="s">
        <v>129</v>
      </c>
      <c r="J933" s="72">
        <v>65</v>
      </c>
    </row>
    <row r="934" spans="1:10" ht="15" customHeight="1">
      <c r="A934" s="70">
        <v>44075</v>
      </c>
      <c r="B934" s="69" t="s">
        <v>982</v>
      </c>
      <c r="C934" s="69" t="s">
        <v>103</v>
      </c>
      <c r="D934" s="71">
        <v>71</v>
      </c>
      <c r="E934" s="69" t="s">
        <v>113</v>
      </c>
      <c r="F934" s="69" t="s">
        <v>105</v>
      </c>
      <c r="G934" s="69" t="s">
        <v>105</v>
      </c>
      <c r="H934" s="69" t="s">
        <v>137</v>
      </c>
      <c r="I934" s="69" t="s">
        <v>118</v>
      </c>
      <c r="J934" s="72">
        <v>400</v>
      </c>
    </row>
    <row r="935" spans="1:10" ht="15" customHeight="1">
      <c r="A935" s="70">
        <v>44076</v>
      </c>
      <c r="B935" s="69" t="s">
        <v>983</v>
      </c>
      <c r="C935" s="69" t="s">
        <v>116</v>
      </c>
      <c r="D935" s="71">
        <v>29</v>
      </c>
      <c r="E935" s="69" t="s">
        <v>113</v>
      </c>
      <c r="F935" s="69" t="s">
        <v>105</v>
      </c>
      <c r="G935" s="69" t="s">
        <v>105</v>
      </c>
      <c r="H935" s="69" t="s">
        <v>145</v>
      </c>
      <c r="I935" s="69" t="s">
        <v>111</v>
      </c>
      <c r="J935" s="72">
        <v>400</v>
      </c>
    </row>
    <row r="936" spans="1:10" ht="15" customHeight="1">
      <c r="A936" s="70">
        <v>44076</v>
      </c>
      <c r="B936" s="69" t="s">
        <v>984</v>
      </c>
      <c r="C936" s="69" t="s">
        <v>103</v>
      </c>
      <c r="D936" s="71">
        <v>39</v>
      </c>
      <c r="E936" s="69" t="s">
        <v>113</v>
      </c>
      <c r="F936" s="69" t="s">
        <v>120</v>
      </c>
      <c r="G936" s="69" t="s">
        <v>142</v>
      </c>
      <c r="H936" s="69" t="s">
        <v>110</v>
      </c>
      <c r="I936" s="69" t="s">
        <v>118</v>
      </c>
      <c r="J936" s="72">
        <v>52</v>
      </c>
    </row>
    <row r="937" spans="1:10" ht="15" customHeight="1">
      <c r="A937" s="70">
        <v>44076</v>
      </c>
      <c r="B937" s="69" t="s">
        <v>985</v>
      </c>
      <c r="C937" s="69" t="s">
        <v>116</v>
      </c>
      <c r="D937" s="71">
        <v>6</v>
      </c>
      <c r="E937" s="69" t="s">
        <v>109</v>
      </c>
      <c r="F937" s="69" t="s">
        <v>120</v>
      </c>
      <c r="G937" s="69" t="s">
        <v>121</v>
      </c>
      <c r="H937" s="69" t="s">
        <v>110</v>
      </c>
      <c r="I937" s="69" t="s">
        <v>118</v>
      </c>
      <c r="J937" s="72">
        <v>78</v>
      </c>
    </row>
    <row r="938" spans="1:10" ht="15" customHeight="1">
      <c r="A938" s="70">
        <v>44076</v>
      </c>
      <c r="B938" s="69" t="s">
        <v>986</v>
      </c>
      <c r="C938" s="69" t="s">
        <v>116</v>
      </c>
      <c r="D938" s="71">
        <v>35</v>
      </c>
      <c r="E938" s="69" t="s">
        <v>113</v>
      </c>
      <c r="F938" s="69" t="s">
        <v>105</v>
      </c>
      <c r="G938" s="69" t="s">
        <v>105</v>
      </c>
      <c r="H938" s="69" t="s">
        <v>117</v>
      </c>
      <c r="I938" s="69" t="s">
        <v>129</v>
      </c>
      <c r="J938" s="72">
        <v>400</v>
      </c>
    </row>
    <row r="939" spans="1:10" ht="15" customHeight="1">
      <c r="A939" s="70">
        <v>44077</v>
      </c>
      <c r="B939" s="69" t="s">
        <v>987</v>
      </c>
      <c r="C939" s="69" t="s">
        <v>116</v>
      </c>
      <c r="D939" s="71">
        <v>44</v>
      </c>
      <c r="E939" s="69" t="s">
        <v>113</v>
      </c>
      <c r="F939" s="69" t="s">
        <v>105</v>
      </c>
      <c r="G939" s="69" t="s">
        <v>105</v>
      </c>
      <c r="H939" s="69" t="s">
        <v>145</v>
      </c>
      <c r="I939" s="69" t="s">
        <v>129</v>
      </c>
      <c r="J939" s="72">
        <v>400</v>
      </c>
    </row>
    <row r="940" spans="1:10" ht="15" customHeight="1">
      <c r="A940" s="70">
        <v>44078</v>
      </c>
      <c r="B940" s="69" t="s">
        <v>988</v>
      </c>
      <c r="C940" s="69" t="s">
        <v>103</v>
      </c>
      <c r="D940" s="71">
        <v>21</v>
      </c>
      <c r="E940" s="69" t="s">
        <v>113</v>
      </c>
      <c r="F940" s="69" t="s">
        <v>105</v>
      </c>
      <c r="G940" s="69" t="s">
        <v>105</v>
      </c>
      <c r="H940" s="69" t="s">
        <v>137</v>
      </c>
      <c r="I940" s="69" t="s">
        <v>114</v>
      </c>
      <c r="J940" s="72">
        <v>400</v>
      </c>
    </row>
    <row r="941" spans="1:10" ht="15" customHeight="1">
      <c r="A941" s="70">
        <v>44079</v>
      </c>
      <c r="B941" s="69" t="s">
        <v>989</v>
      </c>
      <c r="C941" s="69" t="s">
        <v>116</v>
      </c>
      <c r="D941" s="71">
        <v>21</v>
      </c>
      <c r="E941" s="69" t="s">
        <v>139</v>
      </c>
      <c r="F941" s="69" t="s">
        <v>105</v>
      </c>
      <c r="G941" s="69" t="s">
        <v>105</v>
      </c>
      <c r="H941" s="69" t="s">
        <v>137</v>
      </c>
      <c r="I941" s="69" t="s">
        <v>118</v>
      </c>
      <c r="J941" s="72">
        <v>400</v>
      </c>
    </row>
    <row r="942" spans="1:10" ht="15" customHeight="1">
      <c r="A942" s="70">
        <v>44079</v>
      </c>
      <c r="B942" s="69" t="s">
        <v>990</v>
      </c>
      <c r="C942" s="69" t="s">
        <v>103</v>
      </c>
      <c r="D942" s="71">
        <v>32</v>
      </c>
      <c r="E942" s="69" t="s">
        <v>109</v>
      </c>
      <c r="F942" s="69" t="s">
        <v>105</v>
      </c>
      <c r="G942" s="69" t="s">
        <v>105</v>
      </c>
      <c r="H942" s="69" t="s">
        <v>128</v>
      </c>
      <c r="I942" s="69" t="s">
        <v>118</v>
      </c>
      <c r="J942" s="72">
        <v>400</v>
      </c>
    </row>
    <row r="943" spans="1:10" ht="15" customHeight="1">
      <c r="A943" s="70">
        <v>44079</v>
      </c>
      <c r="B943" s="69" t="s">
        <v>991</v>
      </c>
      <c r="C943" s="69" t="s">
        <v>116</v>
      </c>
      <c r="D943" s="71">
        <v>53</v>
      </c>
      <c r="E943" s="69" t="s">
        <v>113</v>
      </c>
      <c r="F943" s="69" t="s">
        <v>120</v>
      </c>
      <c r="G943" s="69" t="s">
        <v>121</v>
      </c>
      <c r="H943" s="69" t="s">
        <v>110</v>
      </c>
      <c r="I943" s="69" t="s">
        <v>111</v>
      </c>
      <c r="J943" s="72">
        <v>78</v>
      </c>
    </row>
    <row r="944" spans="1:10" ht="15" customHeight="1">
      <c r="A944" s="70">
        <v>44079</v>
      </c>
      <c r="B944" s="69" t="s">
        <v>992</v>
      </c>
      <c r="C944" s="69" t="s">
        <v>116</v>
      </c>
      <c r="D944" s="71">
        <v>8</v>
      </c>
      <c r="E944" s="69" t="s">
        <v>113</v>
      </c>
      <c r="F944" s="69" t="s">
        <v>120</v>
      </c>
      <c r="G944" s="69" t="s">
        <v>125</v>
      </c>
      <c r="H944" s="69" t="s">
        <v>131</v>
      </c>
      <c r="I944" s="69" t="s">
        <v>118</v>
      </c>
      <c r="J944" s="72">
        <v>65</v>
      </c>
    </row>
    <row r="945" spans="1:10" ht="15" customHeight="1">
      <c r="A945" s="70">
        <v>44079</v>
      </c>
      <c r="B945" s="69" t="s">
        <v>993</v>
      </c>
      <c r="C945" s="69" t="s">
        <v>103</v>
      </c>
      <c r="D945" s="71">
        <v>32</v>
      </c>
      <c r="E945" s="69" t="s">
        <v>139</v>
      </c>
      <c r="F945" s="69" t="s">
        <v>105</v>
      </c>
      <c r="G945" s="69" t="s">
        <v>105</v>
      </c>
      <c r="H945" s="69" t="s">
        <v>128</v>
      </c>
      <c r="I945" s="69" t="s">
        <v>111</v>
      </c>
      <c r="J945" s="72">
        <v>400</v>
      </c>
    </row>
    <row r="946" spans="1:10" ht="15" customHeight="1">
      <c r="A946" s="70">
        <v>44080</v>
      </c>
      <c r="B946" s="69" t="s">
        <v>994</v>
      </c>
      <c r="C946" s="69" t="s">
        <v>116</v>
      </c>
      <c r="D946" s="71">
        <v>46</v>
      </c>
      <c r="E946" s="69" t="s">
        <v>104</v>
      </c>
      <c r="F946" s="69" t="s">
        <v>105</v>
      </c>
      <c r="G946" s="69" t="s">
        <v>105</v>
      </c>
      <c r="H946" s="69" t="s">
        <v>131</v>
      </c>
      <c r="I946" s="69" t="s">
        <v>159</v>
      </c>
      <c r="J946" s="72">
        <v>400</v>
      </c>
    </row>
    <row r="947" spans="1:10" ht="15" customHeight="1">
      <c r="A947" s="70">
        <v>44080</v>
      </c>
      <c r="B947" s="69" t="s">
        <v>995</v>
      </c>
      <c r="C947" s="69" t="s">
        <v>116</v>
      </c>
      <c r="D947" s="71">
        <v>49</v>
      </c>
      <c r="E947" s="69" t="s">
        <v>109</v>
      </c>
      <c r="F947" s="69" t="s">
        <v>120</v>
      </c>
      <c r="G947" s="69" t="s">
        <v>121</v>
      </c>
      <c r="H947" s="69" t="s">
        <v>137</v>
      </c>
      <c r="I947" s="69" t="s">
        <v>159</v>
      </c>
      <c r="J947" s="72">
        <v>78</v>
      </c>
    </row>
    <row r="948" spans="1:10" ht="15" customHeight="1">
      <c r="A948" s="70">
        <v>44080</v>
      </c>
      <c r="B948" s="69" t="s">
        <v>773</v>
      </c>
      <c r="C948" s="69" t="s">
        <v>116</v>
      </c>
      <c r="D948" s="71">
        <v>25</v>
      </c>
      <c r="E948" s="69" t="s">
        <v>109</v>
      </c>
      <c r="F948" s="69" t="s">
        <v>120</v>
      </c>
      <c r="G948" s="69" t="s">
        <v>121</v>
      </c>
      <c r="H948" s="69" t="s">
        <v>106</v>
      </c>
      <c r="I948" s="69" t="s">
        <v>114</v>
      </c>
      <c r="J948" s="72">
        <v>78</v>
      </c>
    </row>
    <row r="949" spans="1:10" ht="15" customHeight="1">
      <c r="A949" s="70">
        <v>44080</v>
      </c>
      <c r="B949" s="69" t="s">
        <v>996</v>
      </c>
      <c r="C949" s="69" t="s">
        <v>116</v>
      </c>
      <c r="D949" s="71">
        <v>12</v>
      </c>
      <c r="E949" s="69" t="s">
        <v>109</v>
      </c>
      <c r="F949" s="69" t="s">
        <v>105</v>
      </c>
      <c r="G949" s="69" t="s">
        <v>105</v>
      </c>
      <c r="H949" s="69" t="s">
        <v>110</v>
      </c>
      <c r="I949" s="69" t="s">
        <v>118</v>
      </c>
      <c r="J949" s="72">
        <v>400</v>
      </c>
    </row>
    <row r="950" spans="1:10" ht="15" customHeight="1">
      <c r="A950" s="70">
        <v>44080</v>
      </c>
      <c r="B950" s="69" t="s">
        <v>997</v>
      </c>
      <c r="C950" s="69" t="s">
        <v>116</v>
      </c>
      <c r="D950" s="71">
        <v>29</v>
      </c>
      <c r="E950" s="69" t="s">
        <v>113</v>
      </c>
      <c r="F950" s="69" t="s">
        <v>105</v>
      </c>
      <c r="G950" s="69" t="s">
        <v>105</v>
      </c>
      <c r="H950" s="69" t="s">
        <v>137</v>
      </c>
      <c r="I950" s="69" t="s">
        <v>111</v>
      </c>
      <c r="J950" s="72">
        <v>400</v>
      </c>
    </row>
    <row r="951" spans="1:10" ht="15" customHeight="1">
      <c r="A951" s="70">
        <v>44081</v>
      </c>
      <c r="B951" s="69" t="s">
        <v>998</v>
      </c>
      <c r="C951" s="69" t="s">
        <v>116</v>
      </c>
      <c r="D951" s="71">
        <v>72</v>
      </c>
      <c r="E951" s="69" t="s">
        <v>139</v>
      </c>
      <c r="F951" s="69" t="s">
        <v>105</v>
      </c>
      <c r="G951" s="69" t="s">
        <v>105</v>
      </c>
      <c r="H951" s="69" t="s">
        <v>110</v>
      </c>
      <c r="I951" s="69" t="s">
        <v>129</v>
      </c>
      <c r="J951" s="72">
        <v>400</v>
      </c>
    </row>
    <row r="952" spans="1:10" ht="15" customHeight="1">
      <c r="A952" s="70">
        <v>44081</v>
      </c>
      <c r="B952" s="69" t="s">
        <v>999</v>
      </c>
      <c r="C952" s="69" t="s">
        <v>116</v>
      </c>
      <c r="D952" s="71">
        <v>65</v>
      </c>
      <c r="E952" s="69" t="s">
        <v>113</v>
      </c>
      <c r="F952" s="69" t="s">
        <v>105</v>
      </c>
      <c r="G952" s="69" t="s">
        <v>105</v>
      </c>
      <c r="H952" s="69" t="s">
        <v>106</v>
      </c>
      <c r="I952" s="69" t="s">
        <v>118</v>
      </c>
      <c r="J952" s="72">
        <v>400</v>
      </c>
    </row>
    <row r="953" spans="1:10" ht="15" customHeight="1">
      <c r="A953" s="70">
        <v>44081</v>
      </c>
      <c r="B953" s="69" t="s">
        <v>713</v>
      </c>
      <c r="C953" s="69" t="s">
        <v>116</v>
      </c>
      <c r="D953" s="71">
        <v>17</v>
      </c>
      <c r="E953" s="69" t="s">
        <v>113</v>
      </c>
      <c r="F953" s="69" t="s">
        <v>105</v>
      </c>
      <c r="G953" s="69" t="s">
        <v>105</v>
      </c>
      <c r="H953" s="69" t="s">
        <v>117</v>
      </c>
      <c r="I953" s="69" t="s">
        <v>107</v>
      </c>
      <c r="J953" s="72">
        <v>400</v>
      </c>
    </row>
    <row r="954" spans="1:10" ht="15" customHeight="1">
      <c r="A954" s="70">
        <v>44082</v>
      </c>
      <c r="B954" s="69" t="s">
        <v>355</v>
      </c>
      <c r="C954" s="69" t="s">
        <v>116</v>
      </c>
      <c r="D954" s="71">
        <v>49</v>
      </c>
      <c r="E954" s="69" t="s">
        <v>139</v>
      </c>
      <c r="F954" s="69" t="s">
        <v>105</v>
      </c>
      <c r="G954" s="69" t="s">
        <v>105</v>
      </c>
      <c r="H954" s="69" t="s">
        <v>106</v>
      </c>
      <c r="I954" s="69" t="s">
        <v>118</v>
      </c>
      <c r="J954" s="72">
        <v>400</v>
      </c>
    </row>
    <row r="955" spans="1:10" ht="15" customHeight="1">
      <c r="A955" s="70">
        <v>44082</v>
      </c>
      <c r="B955" s="69" t="s">
        <v>1000</v>
      </c>
      <c r="C955" s="69" t="s">
        <v>116</v>
      </c>
      <c r="D955" s="71">
        <v>46</v>
      </c>
      <c r="E955" s="69" t="s">
        <v>113</v>
      </c>
      <c r="F955" s="69" t="s">
        <v>105</v>
      </c>
      <c r="G955" s="69" t="s">
        <v>105</v>
      </c>
      <c r="H955" s="69" t="s">
        <v>117</v>
      </c>
      <c r="I955" s="69" t="s">
        <v>129</v>
      </c>
      <c r="J955" s="72">
        <v>400</v>
      </c>
    </row>
    <row r="956" spans="1:10" ht="15" customHeight="1">
      <c r="A956" s="70">
        <v>44082</v>
      </c>
      <c r="B956" s="69" t="s">
        <v>965</v>
      </c>
      <c r="C956" s="69" t="s">
        <v>116</v>
      </c>
      <c r="D956" s="71">
        <v>16</v>
      </c>
      <c r="E956" s="69" t="s">
        <v>109</v>
      </c>
      <c r="F956" s="69" t="s">
        <v>120</v>
      </c>
      <c r="G956" s="69" t="s">
        <v>125</v>
      </c>
      <c r="H956" s="69" t="s">
        <v>106</v>
      </c>
      <c r="I956" s="69" t="s">
        <v>118</v>
      </c>
      <c r="J956" s="72">
        <v>65</v>
      </c>
    </row>
    <row r="957" spans="1:10" ht="15" customHeight="1">
      <c r="A957" s="70">
        <v>44082</v>
      </c>
      <c r="B957" s="69" t="s">
        <v>1001</v>
      </c>
      <c r="C957" s="69" t="s">
        <v>103</v>
      </c>
      <c r="D957" s="71">
        <v>55</v>
      </c>
      <c r="E957" s="69" t="s">
        <v>104</v>
      </c>
      <c r="F957" s="69" t="s">
        <v>120</v>
      </c>
      <c r="G957" s="69" t="s">
        <v>125</v>
      </c>
      <c r="H957" s="69" t="s">
        <v>106</v>
      </c>
      <c r="I957" s="69" t="s">
        <v>118</v>
      </c>
      <c r="J957" s="72">
        <v>65</v>
      </c>
    </row>
    <row r="958" spans="1:10" ht="15" customHeight="1">
      <c r="A958" s="70">
        <v>44083</v>
      </c>
      <c r="B958" s="69" t="s">
        <v>1002</v>
      </c>
      <c r="C958" s="69" t="s">
        <v>116</v>
      </c>
      <c r="D958" s="71">
        <v>31</v>
      </c>
      <c r="E958" s="69" t="s">
        <v>109</v>
      </c>
      <c r="F958" s="69" t="s">
        <v>105</v>
      </c>
      <c r="G958" s="69" t="s">
        <v>105</v>
      </c>
      <c r="H958" s="69" t="s">
        <v>137</v>
      </c>
      <c r="I958" s="69" t="s">
        <v>107</v>
      </c>
      <c r="J958" s="72">
        <v>400</v>
      </c>
    </row>
    <row r="959" spans="1:10" ht="15" customHeight="1">
      <c r="A959" s="70">
        <v>44083</v>
      </c>
      <c r="B959" s="69" t="s">
        <v>1003</v>
      </c>
      <c r="C959" s="69" t="s">
        <v>116</v>
      </c>
      <c r="D959" s="71">
        <v>45</v>
      </c>
      <c r="E959" s="69" t="s">
        <v>109</v>
      </c>
      <c r="F959" s="69" t="s">
        <v>105</v>
      </c>
      <c r="G959" s="69" t="s">
        <v>105</v>
      </c>
      <c r="H959" s="69" t="s">
        <v>110</v>
      </c>
      <c r="I959" s="69" t="s">
        <v>111</v>
      </c>
      <c r="J959" s="72">
        <v>400</v>
      </c>
    </row>
    <row r="960" spans="1:10" ht="15" customHeight="1">
      <c r="A960" s="70">
        <v>44083</v>
      </c>
      <c r="B960" s="69" t="s">
        <v>1004</v>
      </c>
      <c r="C960" s="69" t="s">
        <v>103</v>
      </c>
      <c r="D960" s="71">
        <v>2</v>
      </c>
      <c r="E960" s="69" t="s">
        <v>109</v>
      </c>
      <c r="F960" s="69" t="s">
        <v>105</v>
      </c>
      <c r="G960" s="69" t="s">
        <v>105</v>
      </c>
      <c r="H960" s="69" t="s">
        <v>128</v>
      </c>
      <c r="I960" s="69" t="s">
        <v>111</v>
      </c>
      <c r="J960" s="72">
        <v>400</v>
      </c>
    </row>
    <row r="961" spans="1:10" ht="15" customHeight="1">
      <c r="A961" s="70">
        <v>44083</v>
      </c>
      <c r="B961" s="69" t="s">
        <v>1005</v>
      </c>
      <c r="C961" s="69" t="s">
        <v>116</v>
      </c>
      <c r="D961" s="71">
        <v>64</v>
      </c>
      <c r="E961" s="69" t="s">
        <v>109</v>
      </c>
      <c r="F961" s="69" t="s">
        <v>120</v>
      </c>
      <c r="G961" s="69" t="s">
        <v>121</v>
      </c>
      <c r="H961" s="69" t="s">
        <v>106</v>
      </c>
      <c r="I961" s="69" t="s">
        <v>159</v>
      </c>
      <c r="J961" s="72">
        <v>78</v>
      </c>
    </row>
    <row r="962" spans="1:10" ht="15" customHeight="1">
      <c r="A962" s="70">
        <v>44084</v>
      </c>
      <c r="B962" s="69" t="s">
        <v>1006</v>
      </c>
      <c r="C962" s="69" t="s">
        <v>116</v>
      </c>
      <c r="D962" s="71">
        <v>46</v>
      </c>
      <c r="E962" s="69" t="s">
        <v>109</v>
      </c>
      <c r="F962" s="69" t="s">
        <v>105</v>
      </c>
      <c r="G962" s="69" t="s">
        <v>105</v>
      </c>
      <c r="H962" s="69" t="s">
        <v>106</v>
      </c>
      <c r="I962" s="69" t="s">
        <v>118</v>
      </c>
      <c r="J962" s="72">
        <v>400</v>
      </c>
    </row>
    <row r="963" spans="1:10" ht="15" customHeight="1">
      <c r="A963" s="70">
        <v>44084</v>
      </c>
      <c r="B963" s="69" t="s">
        <v>1007</v>
      </c>
      <c r="C963" s="69" t="s">
        <v>103</v>
      </c>
      <c r="D963" s="71">
        <v>56</v>
      </c>
      <c r="E963" s="69" t="s">
        <v>109</v>
      </c>
      <c r="F963" s="69" t="s">
        <v>105</v>
      </c>
      <c r="G963" s="69" t="s">
        <v>105</v>
      </c>
      <c r="H963" s="69" t="s">
        <v>110</v>
      </c>
      <c r="I963" s="69" t="s">
        <v>111</v>
      </c>
      <c r="J963" s="72">
        <v>400</v>
      </c>
    </row>
    <row r="964" spans="1:10" ht="15" customHeight="1">
      <c r="A964" s="70">
        <v>44084</v>
      </c>
      <c r="B964" s="69" t="s">
        <v>1008</v>
      </c>
      <c r="C964" s="69" t="s">
        <v>103</v>
      </c>
      <c r="D964" s="71">
        <v>49</v>
      </c>
      <c r="E964" s="69" t="s">
        <v>104</v>
      </c>
      <c r="F964" s="69" t="s">
        <v>105</v>
      </c>
      <c r="G964" s="69" t="s">
        <v>105</v>
      </c>
      <c r="H964" s="69" t="s">
        <v>126</v>
      </c>
      <c r="I964" s="69" t="s">
        <v>107</v>
      </c>
      <c r="J964" s="72">
        <v>400</v>
      </c>
    </row>
    <row r="965" spans="1:10" ht="15" customHeight="1">
      <c r="A965" s="70">
        <v>44085</v>
      </c>
      <c r="B965" s="69" t="s">
        <v>1009</v>
      </c>
      <c r="C965" s="69" t="s">
        <v>116</v>
      </c>
      <c r="D965" s="71">
        <v>51</v>
      </c>
      <c r="E965" s="69" t="s">
        <v>109</v>
      </c>
      <c r="F965" s="69" t="s">
        <v>105</v>
      </c>
      <c r="G965" s="69" t="s">
        <v>105</v>
      </c>
      <c r="H965" s="69" t="s">
        <v>110</v>
      </c>
      <c r="I965" s="69" t="s">
        <v>118</v>
      </c>
      <c r="J965" s="72">
        <v>400</v>
      </c>
    </row>
    <row r="966" spans="1:10" ht="15" customHeight="1">
      <c r="A966" s="70">
        <v>44085</v>
      </c>
      <c r="B966" s="69" t="s">
        <v>1010</v>
      </c>
      <c r="C966" s="69" t="s">
        <v>116</v>
      </c>
      <c r="D966" s="71">
        <v>29</v>
      </c>
      <c r="E966" s="69" t="s">
        <v>113</v>
      </c>
      <c r="F966" s="69" t="s">
        <v>105</v>
      </c>
      <c r="G966" s="69" t="s">
        <v>105</v>
      </c>
      <c r="H966" s="69" t="s">
        <v>137</v>
      </c>
      <c r="I966" s="69" t="s">
        <v>114</v>
      </c>
      <c r="J966" s="72">
        <v>400</v>
      </c>
    </row>
    <row r="967" spans="1:10" ht="15" customHeight="1">
      <c r="A967" s="70">
        <v>44086</v>
      </c>
      <c r="B967" s="69" t="s">
        <v>1011</v>
      </c>
      <c r="C967" s="69" t="s">
        <v>116</v>
      </c>
      <c r="D967" s="71">
        <v>61</v>
      </c>
      <c r="E967" s="69" t="s">
        <v>139</v>
      </c>
      <c r="F967" s="69" t="s">
        <v>120</v>
      </c>
      <c r="G967" s="69" t="s">
        <v>121</v>
      </c>
      <c r="H967" s="69" t="s">
        <v>110</v>
      </c>
      <c r="I967" s="69" t="s">
        <v>129</v>
      </c>
      <c r="J967" s="72">
        <v>78</v>
      </c>
    </row>
    <row r="968" spans="1:10" ht="15" customHeight="1">
      <c r="A968" s="70">
        <v>44086</v>
      </c>
      <c r="B968" s="69" t="s">
        <v>833</v>
      </c>
      <c r="C968" s="69" t="s">
        <v>103</v>
      </c>
      <c r="D968" s="71">
        <v>53</v>
      </c>
      <c r="E968" s="69" t="s">
        <v>104</v>
      </c>
      <c r="F968" s="69" t="s">
        <v>105</v>
      </c>
      <c r="G968" s="69" t="s">
        <v>105</v>
      </c>
      <c r="H968" s="69" t="s">
        <v>110</v>
      </c>
      <c r="I968" s="69" t="s">
        <v>114</v>
      </c>
      <c r="J968" s="72">
        <v>400</v>
      </c>
    </row>
    <row r="969" spans="1:10" ht="15" customHeight="1">
      <c r="A969" s="70">
        <v>44086</v>
      </c>
      <c r="B969" s="69" t="s">
        <v>1012</v>
      </c>
      <c r="C969" s="69" t="s">
        <v>103</v>
      </c>
      <c r="D969" s="71">
        <v>9</v>
      </c>
      <c r="E969" s="69" t="s">
        <v>109</v>
      </c>
      <c r="F969" s="69" t="s">
        <v>105</v>
      </c>
      <c r="G969" s="69" t="s">
        <v>105</v>
      </c>
      <c r="H969" s="69" t="s">
        <v>128</v>
      </c>
      <c r="I969" s="69" t="s">
        <v>118</v>
      </c>
      <c r="J969" s="72">
        <v>400</v>
      </c>
    </row>
    <row r="970" spans="1:10" ht="15" customHeight="1">
      <c r="A970" s="70">
        <v>44086</v>
      </c>
      <c r="B970" s="69" t="s">
        <v>781</v>
      </c>
      <c r="C970" s="69" t="s">
        <v>103</v>
      </c>
      <c r="D970" s="71">
        <v>22</v>
      </c>
      <c r="E970" s="69" t="s">
        <v>104</v>
      </c>
      <c r="F970" s="69" t="s">
        <v>105</v>
      </c>
      <c r="G970" s="69" t="s">
        <v>105</v>
      </c>
      <c r="H970" s="69" t="s">
        <v>117</v>
      </c>
      <c r="I970" s="69" t="s">
        <v>111</v>
      </c>
      <c r="J970" s="72">
        <v>400</v>
      </c>
    </row>
    <row r="971" spans="1:10" ht="15" customHeight="1">
      <c r="A971" s="70">
        <v>44086</v>
      </c>
      <c r="B971" s="69" t="s">
        <v>618</v>
      </c>
      <c r="C971" s="69" t="s">
        <v>116</v>
      </c>
      <c r="D971" s="71">
        <v>44</v>
      </c>
      <c r="E971" s="69" t="s">
        <v>139</v>
      </c>
      <c r="F971" s="69" t="s">
        <v>120</v>
      </c>
      <c r="G971" s="69" t="s">
        <v>121</v>
      </c>
      <c r="H971" s="69" t="s">
        <v>137</v>
      </c>
      <c r="I971" s="69" t="s">
        <v>107</v>
      </c>
      <c r="J971" s="72">
        <v>78</v>
      </c>
    </row>
    <row r="972" spans="1:10" ht="15" customHeight="1">
      <c r="A972" s="70">
        <v>44087</v>
      </c>
      <c r="B972" s="69" t="s">
        <v>1013</v>
      </c>
      <c r="C972" s="69" t="s">
        <v>116</v>
      </c>
      <c r="D972" s="71">
        <v>18</v>
      </c>
      <c r="E972" s="69" t="s">
        <v>109</v>
      </c>
      <c r="F972" s="69" t="s">
        <v>120</v>
      </c>
      <c r="G972" s="69" t="s">
        <v>121</v>
      </c>
      <c r="H972" s="69" t="s">
        <v>106</v>
      </c>
      <c r="I972" s="69" t="s">
        <v>118</v>
      </c>
      <c r="J972" s="72">
        <v>78</v>
      </c>
    </row>
    <row r="973" spans="1:10" ht="15" customHeight="1">
      <c r="A973" s="70">
        <v>44087</v>
      </c>
      <c r="B973" s="69" t="s">
        <v>1014</v>
      </c>
      <c r="C973" s="69" t="s">
        <v>103</v>
      </c>
      <c r="D973" s="71">
        <v>44</v>
      </c>
      <c r="E973" s="69" t="s">
        <v>109</v>
      </c>
      <c r="F973" s="69" t="s">
        <v>105</v>
      </c>
      <c r="G973" s="69" t="s">
        <v>105</v>
      </c>
      <c r="H973" s="69" t="s">
        <v>145</v>
      </c>
      <c r="I973" s="69" t="s">
        <v>118</v>
      </c>
      <c r="J973" s="72">
        <v>400</v>
      </c>
    </row>
    <row r="974" spans="1:10" ht="15" customHeight="1">
      <c r="A974" s="70">
        <v>44088</v>
      </c>
      <c r="B974" s="69" t="s">
        <v>1015</v>
      </c>
      <c r="C974" s="69" t="s">
        <v>116</v>
      </c>
      <c r="D974" s="71">
        <v>41</v>
      </c>
      <c r="E974" s="69" t="s">
        <v>113</v>
      </c>
      <c r="F974" s="69" t="s">
        <v>120</v>
      </c>
      <c r="G974" s="69" t="s">
        <v>121</v>
      </c>
      <c r="H974" s="69" t="s">
        <v>137</v>
      </c>
      <c r="I974" s="69" t="s">
        <v>114</v>
      </c>
      <c r="J974" s="72">
        <v>78</v>
      </c>
    </row>
    <row r="975" spans="1:10" ht="15" customHeight="1">
      <c r="A975" s="70">
        <v>44088</v>
      </c>
      <c r="B975" s="69" t="s">
        <v>1016</v>
      </c>
      <c r="C975" s="69" t="s">
        <v>116</v>
      </c>
      <c r="D975" s="71">
        <v>33</v>
      </c>
      <c r="E975" s="69" t="s">
        <v>113</v>
      </c>
      <c r="F975" s="69" t="s">
        <v>120</v>
      </c>
      <c r="G975" s="69" t="s">
        <v>142</v>
      </c>
      <c r="H975" s="69" t="s">
        <v>145</v>
      </c>
      <c r="I975" s="69" t="s">
        <v>107</v>
      </c>
      <c r="J975" s="72">
        <v>52</v>
      </c>
    </row>
    <row r="976" spans="1:10" ht="15" customHeight="1">
      <c r="A976" s="70">
        <v>44088</v>
      </c>
      <c r="B976" s="69" t="s">
        <v>222</v>
      </c>
      <c r="C976" s="69" t="s">
        <v>103</v>
      </c>
      <c r="D976" s="71">
        <v>68</v>
      </c>
      <c r="E976" s="69" t="s">
        <v>113</v>
      </c>
      <c r="F976" s="69" t="s">
        <v>120</v>
      </c>
      <c r="G976" s="69" t="s">
        <v>125</v>
      </c>
      <c r="H976" s="69" t="s">
        <v>128</v>
      </c>
      <c r="I976" s="69" t="s">
        <v>114</v>
      </c>
      <c r="J976" s="72">
        <v>65</v>
      </c>
    </row>
    <row r="977" spans="1:10" ht="15" customHeight="1">
      <c r="A977" s="70">
        <v>44088</v>
      </c>
      <c r="B977" s="69" t="s">
        <v>1017</v>
      </c>
      <c r="C977" s="69" t="s">
        <v>116</v>
      </c>
      <c r="D977" s="71">
        <v>53</v>
      </c>
      <c r="E977" s="69" t="s">
        <v>139</v>
      </c>
      <c r="F977" s="69" t="s">
        <v>120</v>
      </c>
      <c r="G977" s="69" t="s">
        <v>121</v>
      </c>
      <c r="H977" s="69" t="s">
        <v>128</v>
      </c>
      <c r="I977" s="69" t="s">
        <v>118</v>
      </c>
      <c r="J977" s="72">
        <v>78</v>
      </c>
    </row>
    <row r="978" spans="1:10" ht="15" customHeight="1">
      <c r="A978" s="70">
        <v>44089</v>
      </c>
      <c r="B978" s="69" t="s">
        <v>1018</v>
      </c>
      <c r="C978" s="69" t="s">
        <v>116</v>
      </c>
      <c r="D978" s="71">
        <v>14</v>
      </c>
      <c r="E978" s="69" t="s">
        <v>104</v>
      </c>
      <c r="F978" s="69" t="s">
        <v>105</v>
      </c>
      <c r="G978" s="69" t="s">
        <v>105</v>
      </c>
      <c r="H978" s="69" t="s">
        <v>128</v>
      </c>
      <c r="I978" s="69" t="s">
        <v>114</v>
      </c>
      <c r="J978" s="72">
        <v>400</v>
      </c>
    </row>
    <row r="979" spans="1:10" ht="15" customHeight="1">
      <c r="A979" s="70">
        <v>44089</v>
      </c>
      <c r="B979" s="69" t="s">
        <v>1019</v>
      </c>
      <c r="C979" s="69" t="s">
        <v>116</v>
      </c>
      <c r="D979" s="71">
        <v>12</v>
      </c>
      <c r="E979" s="69" t="s">
        <v>113</v>
      </c>
      <c r="F979" s="69" t="s">
        <v>120</v>
      </c>
      <c r="G979" s="69" t="s">
        <v>121</v>
      </c>
      <c r="H979" s="69" t="s">
        <v>145</v>
      </c>
      <c r="I979" s="69" t="s">
        <v>114</v>
      </c>
      <c r="J979" s="72">
        <v>78</v>
      </c>
    </row>
    <row r="980" spans="1:10" ht="15" customHeight="1">
      <c r="A980" s="70">
        <v>44090</v>
      </c>
      <c r="B980" s="69" t="s">
        <v>1020</v>
      </c>
      <c r="C980" s="69" t="s">
        <v>103</v>
      </c>
      <c r="D980" s="71">
        <v>70</v>
      </c>
      <c r="E980" s="69" t="s">
        <v>104</v>
      </c>
      <c r="F980" s="69" t="s">
        <v>120</v>
      </c>
      <c r="G980" s="69" t="s">
        <v>121</v>
      </c>
      <c r="H980" s="69" t="s">
        <v>106</v>
      </c>
      <c r="I980" s="69" t="s">
        <v>111</v>
      </c>
      <c r="J980" s="72">
        <v>78</v>
      </c>
    </row>
    <row r="981" spans="1:10" ht="15" customHeight="1">
      <c r="A981" s="70">
        <v>44090</v>
      </c>
      <c r="B981" s="69" t="s">
        <v>1021</v>
      </c>
      <c r="C981" s="69" t="s">
        <v>116</v>
      </c>
      <c r="D981" s="71">
        <v>13</v>
      </c>
      <c r="E981" s="69" t="s">
        <v>104</v>
      </c>
      <c r="F981" s="69" t="s">
        <v>120</v>
      </c>
      <c r="G981" s="69" t="s">
        <v>123</v>
      </c>
      <c r="H981" s="69" t="s">
        <v>137</v>
      </c>
      <c r="I981" s="69" t="s">
        <v>107</v>
      </c>
      <c r="J981" s="72">
        <v>90</v>
      </c>
    </row>
    <row r="982" spans="1:10" ht="15" customHeight="1">
      <c r="A982" s="70">
        <v>44091</v>
      </c>
      <c r="B982" s="69" t="s">
        <v>1022</v>
      </c>
      <c r="C982" s="69" t="s">
        <v>116</v>
      </c>
      <c r="D982" s="71">
        <v>8</v>
      </c>
      <c r="E982" s="69" t="s">
        <v>113</v>
      </c>
      <c r="F982" s="69" t="s">
        <v>105</v>
      </c>
      <c r="G982" s="69" t="s">
        <v>105</v>
      </c>
      <c r="H982" s="69" t="s">
        <v>137</v>
      </c>
      <c r="I982" s="69" t="s">
        <v>118</v>
      </c>
      <c r="J982" s="72">
        <v>400</v>
      </c>
    </row>
    <row r="983" spans="1:10" ht="15" customHeight="1">
      <c r="A983" s="70">
        <v>44091</v>
      </c>
      <c r="B983" s="69" t="s">
        <v>865</v>
      </c>
      <c r="C983" s="69" t="s">
        <v>103</v>
      </c>
      <c r="D983" s="71">
        <v>39</v>
      </c>
      <c r="E983" s="69" t="s">
        <v>113</v>
      </c>
      <c r="F983" s="69" t="s">
        <v>120</v>
      </c>
      <c r="G983" s="69" t="s">
        <v>121</v>
      </c>
      <c r="H983" s="69" t="s">
        <v>131</v>
      </c>
      <c r="I983" s="69" t="s">
        <v>129</v>
      </c>
      <c r="J983" s="72">
        <v>78</v>
      </c>
    </row>
    <row r="984" spans="1:10" ht="15" customHeight="1">
      <c r="A984" s="70">
        <v>44091</v>
      </c>
      <c r="B984" s="69" t="s">
        <v>361</v>
      </c>
      <c r="C984" s="69" t="s">
        <v>116</v>
      </c>
      <c r="D984" s="71">
        <v>62</v>
      </c>
      <c r="E984" s="69" t="s">
        <v>113</v>
      </c>
      <c r="F984" s="69" t="s">
        <v>120</v>
      </c>
      <c r="G984" s="69" t="s">
        <v>125</v>
      </c>
      <c r="H984" s="69" t="s">
        <v>117</v>
      </c>
      <c r="I984" s="69" t="s">
        <v>118</v>
      </c>
      <c r="J984" s="72">
        <v>65</v>
      </c>
    </row>
    <row r="985" spans="1:10" ht="15" customHeight="1">
      <c r="A985" s="70">
        <v>44091</v>
      </c>
      <c r="B985" s="69" t="s">
        <v>1023</v>
      </c>
      <c r="C985" s="69" t="s">
        <v>103</v>
      </c>
      <c r="D985" s="71">
        <v>65</v>
      </c>
      <c r="E985" s="69" t="s">
        <v>109</v>
      </c>
      <c r="F985" s="69" t="s">
        <v>105</v>
      </c>
      <c r="G985" s="69" t="s">
        <v>105</v>
      </c>
      <c r="H985" s="69" t="s">
        <v>131</v>
      </c>
      <c r="I985" s="69" t="s">
        <v>114</v>
      </c>
      <c r="J985" s="72">
        <v>400</v>
      </c>
    </row>
    <row r="986" spans="1:10" ht="15" customHeight="1">
      <c r="A986" s="70">
        <v>44091</v>
      </c>
      <c r="B986" s="69" t="s">
        <v>1024</v>
      </c>
      <c r="C986" s="69" t="s">
        <v>116</v>
      </c>
      <c r="D986" s="71">
        <v>73</v>
      </c>
      <c r="E986" s="69" t="s">
        <v>104</v>
      </c>
      <c r="F986" s="69" t="s">
        <v>105</v>
      </c>
      <c r="G986" s="69" t="s">
        <v>105</v>
      </c>
      <c r="H986" s="69" t="s">
        <v>117</v>
      </c>
      <c r="I986" s="69" t="s">
        <v>118</v>
      </c>
      <c r="J986" s="72">
        <v>400</v>
      </c>
    </row>
    <row r="987" spans="1:10" ht="15" customHeight="1">
      <c r="A987" s="70">
        <v>44092</v>
      </c>
      <c r="B987" s="69" t="s">
        <v>1025</v>
      </c>
      <c r="C987" s="69" t="s">
        <v>116</v>
      </c>
      <c r="D987" s="71">
        <v>69</v>
      </c>
      <c r="E987" s="69" t="s">
        <v>109</v>
      </c>
      <c r="F987" s="69" t="s">
        <v>105</v>
      </c>
      <c r="G987" s="69" t="s">
        <v>105</v>
      </c>
      <c r="H987" s="69" t="s">
        <v>110</v>
      </c>
      <c r="I987" s="69" t="s">
        <v>159</v>
      </c>
      <c r="J987" s="72">
        <v>400</v>
      </c>
    </row>
    <row r="988" spans="1:10" ht="15" customHeight="1">
      <c r="A988" s="70">
        <v>44092</v>
      </c>
      <c r="B988" s="69" t="s">
        <v>1026</v>
      </c>
      <c r="C988" s="69" t="s">
        <v>103</v>
      </c>
      <c r="D988" s="71">
        <v>66</v>
      </c>
      <c r="E988" s="69" t="s">
        <v>109</v>
      </c>
      <c r="F988" s="69" t="s">
        <v>105</v>
      </c>
      <c r="G988" s="69" t="s">
        <v>105</v>
      </c>
      <c r="H988" s="69" t="s">
        <v>131</v>
      </c>
      <c r="I988" s="69" t="s">
        <v>118</v>
      </c>
      <c r="J988" s="72">
        <v>400</v>
      </c>
    </row>
    <row r="989" spans="1:10" ht="15" customHeight="1">
      <c r="A989" s="70">
        <v>44092</v>
      </c>
      <c r="B989" s="69" t="s">
        <v>1027</v>
      </c>
      <c r="C989" s="69" t="s">
        <v>116</v>
      </c>
      <c r="D989" s="71">
        <v>16</v>
      </c>
      <c r="E989" s="69" t="s">
        <v>104</v>
      </c>
      <c r="F989" s="69" t="s">
        <v>105</v>
      </c>
      <c r="G989" s="69" t="s">
        <v>105</v>
      </c>
      <c r="H989" s="69" t="s">
        <v>137</v>
      </c>
      <c r="I989" s="69" t="s">
        <v>118</v>
      </c>
      <c r="J989" s="72">
        <v>400</v>
      </c>
    </row>
    <row r="990" spans="1:10" ht="15" customHeight="1">
      <c r="A990" s="70">
        <v>44092</v>
      </c>
      <c r="B990" s="69" t="s">
        <v>1028</v>
      </c>
      <c r="C990" s="69" t="s">
        <v>103</v>
      </c>
      <c r="D990" s="71">
        <v>60</v>
      </c>
      <c r="E990" s="69" t="s">
        <v>113</v>
      </c>
      <c r="F990" s="69" t="s">
        <v>105</v>
      </c>
      <c r="G990" s="69" t="s">
        <v>105</v>
      </c>
      <c r="H990" s="69" t="s">
        <v>106</v>
      </c>
      <c r="I990" s="69" t="s">
        <v>118</v>
      </c>
      <c r="J990" s="72">
        <v>400</v>
      </c>
    </row>
    <row r="991" spans="1:10" ht="15" customHeight="1">
      <c r="A991" s="70">
        <v>44093</v>
      </c>
      <c r="B991" s="69" t="s">
        <v>1029</v>
      </c>
      <c r="C991" s="69" t="s">
        <v>116</v>
      </c>
      <c r="D991" s="71">
        <v>59</v>
      </c>
      <c r="E991" s="69" t="s">
        <v>139</v>
      </c>
      <c r="F991" s="69" t="s">
        <v>105</v>
      </c>
      <c r="G991" s="69" t="s">
        <v>105</v>
      </c>
      <c r="H991" s="69" t="s">
        <v>106</v>
      </c>
      <c r="I991" s="69" t="s">
        <v>114</v>
      </c>
      <c r="J991" s="72">
        <v>400</v>
      </c>
    </row>
    <row r="992" spans="1:10" ht="15" customHeight="1">
      <c r="A992" s="70">
        <v>44093</v>
      </c>
      <c r="B992" s="69" t="s">
        <v>1030</v>
      </c>
      <c r="C992" s="69" t="s">
        <v>116</v>
      </c>
      <c r="D992" s="71">
        <v>47</v>
      </c>
      <c r="E992" s="69" t="s">
        <v>104</v>
      </c>
      <c r="F992" s="69" t="s">
        <v>105</v>
      </c>
      <c r="G992" s="69" t="s">
        <v>105</v>
      </c>
      <c r="H992" s="69" t="s">
        <v>110</v>
      </c>
      <c r="I992" s="69" t="s">
        <v>118</v>
      </c>
      <c r="J992" s="72">
        <v>400</v>
      </c>
    </row>
    <row r="993" spans="1:10" ht="15" customHeight="1">
      <c r="A993" s="70">
        <v>44093</v>
      </c>
      <c r="B993" s="69" t="s">
        <v>1031</v>
      </c>
      <c r="C993" s="69" t="s">
        <v>116</v>
      </c>
      <c r="D993" s="71">
        <v>41</v>
      </c>
      <c r="E993" s="69" t="s">
        <v>104</v>
      </c>
      <c r="F993" s="69" t="s">
        <v>120</v>
      </c>
      <c r="G993" s="69" t="s">
        <v>121</v>
      </c>
      <c r="H993" s="69" t="s">
        <v>106</v>
      </c>
      <c r="I993" s="69" t="s">
        <v>118</v>
      </c>
      <c r="J993" s="72">
        <v>78</v>
      </c>
    </row>
    <row r="994" spans="1:10" ht="15" customHeight="1">
      <c r="A994" s="70">
        <v>44093</v>
      </c>
      <c r="B994" s="69" t="s">
        <v>263</v>
      </c>
      <c r="C994" s="69" t="s">
        <v>116</v>
      </c>
      <c r="D994" s="71">
        <v>53</v>
      </c>
      <c r="E994" s="69" t="s">
        <v>104</v>
      </c>
      <c r="F994" s="69" t="s">
        <v>105</v>
      </c>
      <c r="G994" s="69" t="s">
        <v>105</v>
      </c>
      <c r="H994" s="69" t="s">
        <v>117</v>
      </c>
      <c r="I994" s="69" t="s">
        <v>111</v>
      </c>
      <c r="J994" s="72">
        <v>400</v>
      </c>
    </row>
    <row r="995" spans="1:10" ht="15" customHeight="1">
      <c r="A995" s="70">
        <v>44093</v>
      </c>
      <c r="B995" s="69" t="s">
        <v>1032</v>
      </c>
      <c r="C995" s="69" t="s">
        <v>116</v>
      </c>
      <c r="D995" s="71">
        <v>25</v>
      </c>
      <c r="E995" s="69" t="s">
        <v>104</v>
      </c>
      <c r="F995" s="69" t="s">
        <v>120</v>
      </c>
      <c r="G995" s="69" t="s">
        <v>125</v>
      </c>
      <c r="H995" s="69" t="s">
        <v>137</v>
      </c>
      <c r="I995" s="69" t="s">
        <v>118</v>
      </c>
      <c r="J995" s="72">
        <v>65</v>
      </c>
    </row>
    <row r="996" spans="1:10" ht="15" customHeight="1">
      <c r="A996" s="70">
        <v>44093</v>
      </c>
      <c r="B996" s="69" t="s">
        <v>1033</v>
      </c>
      <c r="C996" s="69" t="s">
        <v>103</v>
      </c>
      <c r="D996" s="71">
        <v>66</v>
      </c>
      <c r="E996" s="69" t="s">
        <v>113</v>
      </c>
      <c r="F996" s="69" t="s">
        <v>120</v>
      </c>
      <c r="G996" s="69" t="s">
        <v>121</v>
      </c>
      <c r="H996" s="69" t="s">
        <v>128</v>
      </c>
      <c r="I996" s="69" t="s">
        <v>111</v>
      </c>
      <c r="J996" s="72">
        <v>78</v>
      </c>
    </row>
    <row r="997" spans="1:10" ht="15" customHeight="1">
      <c r="A997" s="70">
        <v>44093</v>
      </c>
      <c r="B997" s="69" t="s">
        <v>1034</v>
      </c>
      <c r="C997" s="69" t="s">
        <v>116</v>
      </c>
      <c r="D997" s="71">
        <v>34</v>
      </c>
      <c r="E997" s="69" t="s">
        <v>113</v>
      </c>
      <c r="F997" s="69" t="s">
        <v>120</v>
      </c>
      <c r="G997" s="69" t="s">
        <v>121</v>
      </c>
      <c r="H997" s="69" t="s">
        <v>137</v>
      </c>
      <c r="I997" s="69" t="s">
        <v>114</v>
      </c>
      <c r="J997" s="72">
        <v>78</v>
      </c>
    </row>
    <row r="998" spans="1:10" ht="15" customHeight="1">
      <c r="A998" s="70">
        <v>44094</v>
      </c>
      <c r="B998" s="69" t="s">
        <v>1035</v>
      </c>
      <c r="C998" s="69" t="s">
        <v>116</v>
      </c>
      <c r="D998" s="71">
        <v>27</v>
      </c>
      <c r="E998" s="69" t="s">
        <v>139</v>
      </c>
      <c r="F998" s="69" t="s">
        <v>120</v>
      </c>
      <c r="G998" s="69" t="s">
        <v>121</v>
      </c>
      <c r="H998" s="69" t="s">
        <v>128</v>
      </c>
      <c r="I998" s="69" t="s">
        <v>118</v>
      </c>
      <c r="J998" s="72">
        <v>78</v>
      </c>
    </row>
    <row r="999" spans="1:10" ht="15" customHeight="1">
      <c r="A999" s="70">
        <v>44094</v>
      </c>
      <c r="B999" s="69" t="s">
        <v>1036</v>
      </c>
      <c r="C999" s="69" t="s">
        <v>116</v>
      </c>
      <c r="D999" s="71">
        <v>74</v>
      </c>
      <c r="E999" s="69" t="s">
        <v>104</v>
      </c>
      <c r="F999" s="69" t="s">
        <v>120</v>
      </c>
      <c r="G999" s="69" t="s">
        <v>121</v>
      </c>
      <c r="H999" s="69" t="s">
        <v>128</v>
      </c>
      <c r="I999" s="69" t="s">
        <v>114</v>
      </c>
      <c r="J999" s="72">
        <v>78</v>
      </c>
    </row>
    <row r="1000" spans="1:10" ht="15" customHeight="1">
      <c r="A1000" s="70">
        <v>44094</v>
      </c>
      <c r="B1000" s="69" t="s">
        <v>1037</v>
      </c>
      <c r="C1000" s="69" t="s">
        <v>116</v>
      </c>
      <c r="D1000" s="71">
        <v>33</v>
      </c>
      <c r="E1000" s="69" t="s">
        <v>139</v>
      </c>
      <c r="F1000" s="69" t="s">
        <v>105</v>
      </c>
      <c r="G1000" s="69" t="s">
        <v>105</v>
      </c>
      <c r="H1000" s="69" t="s">
        <v>106</v>
      </c>
      <c r="I1000" s="69" t="s">
        <v>118</v>
      </c>
      <c r="J1000" s="72">
        <v>400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21384-937E-42CD-8D0F-63F7FF9BB58C}">
  <sheetPr codeName="Sheet3"/>
  <dimension ref="B1:AG25"/>
  <sheetViews>
    <sheetView workbookViewId="0">
      <selection activeCell="F12" sqref="F12"/>
    </sheetView>
  </sheetViews>
  <sheetFormatPr defaultRowHeight="14.4" outlineLevelCol="1"/>
  <cols>
    <col min="2" max="2" width="40.88671875" customWidth="1" outlineLevel="1"/>
    <col min="3" max="3" width="18.33203125" customWidth="1" outlineLevel="1"/>
    <col min="4" max="4" width="17" customWidth="1" outlineLevel="1"/>
    <col min="5" max="5" width="9.109375" customWidth="1" outlineLevel="1"/>
    <col min="6" max="6" width="36.44140625" customWidth="1" outlineLevel="1"/>
    <col min="7" max="7" width="12.109375" customWidth="1" outlineLevel="1"/>
    <col min="8" max="8" width="15.44140625" customWidth="1" outlineLevel="1"/>
    <col min="9" max="9" width="9.109375" customWidth="1" outlineLevel="1"/>
    <col min="10" max="10" width="36.44140625" customWidth="1" outlineLevel="1"/>
    <col min="11" max="11" width="12.109375" customWidth="1" outlineLevel="1"/>
    <col min="12" max="12" width="15.44140625" customWidth="1" outlineLevel="1"/>
    <col min="13" max="13" width="9.109375" customWidth="1" outlineLevel="1"/>
    <col min="14" max="14" width="36.44140625" customWidth="1" outlineLevel="1"/>
    <col min="15" max="15" width="12.109375" customWidth="1" outlineLevel="1"/>
    <col min="16" max="16" width="15.44140625" customWidth="1" outlineLevel="1"/>
    <col min="17" max="17" width="9.109375" customWidth="1" outlineLevel="1"/>
    <col min="18" max="18" width="36.44140625" customWidth="1" outlineLevel="1"/>
    <col min="19" max="19" width="12.109375" customWidth="1" outlineLevel="1"/>
    <col min="20" max="20" width="15.44140625" customWidth="1" outlineLevel="1"/>
    <col min="21" max="21" width="9.109375" customWidth="1" outlineLevel="1"/>
    <col min="22" max="22" width="36.44140625" customWidth="1" outlineLevel="1"/>
    <col min="23" max="23" width="12.109375" customWidth="1" outlineLevel="1"/>
    <col min="24" max="24" width="15.44140625" customWidth="1" outlineLevel="1"/>
    <col min="25" max="25" width="9.109375" customWidth="1" outlineLevel="1"/>
    <col min="27" max="27" width="36.44140625" bestFit="1" customWidth="1"/>
    <col min="28" max="28" width="12.109375" bestFit="1" customWidth="1"/>
    <col min="29" max="29" width="15.44140625" bestFit="1" customWidth="1"/>
    <col min="31" max="31" width="36.44140625" bestFit="1" customWidth="1"/>
    <col min="32" max="32" width="17.5546875" customWidth="1"/>
    <col min="33" max="33" width="16.6640625" customWidth="1"/>
  </cols>
  <sheetData>
    <row r="1" spans="2:33">
      <c r="B1" t="s">
        <v>1427</v>
      </c>
    </row>
    <row r="3" spans="2:33">
      <c r="B3" t="s">
        <v>1428</v>
      </c>
      <c r="C3" t="s">
        <v>1437</v>
      </c>
      <c r="F3" t="s">
        <v>1428</v>
      </c>
      <c r="J3" t="s">
        <v>1428</v>
      </c>
      <c r="K3" t="s">
        <v>1438</v>
      </c>
      <c r="N3" t="s">
        <v>1428</v>
      </c>
      <c r="R3" t="s">
        <v>1428</v>
      </c>
      <c r="V3" t="s">
        <v>1428</v>
      </c>
    </row>
    <row r="4" spans="2:33">
      <c r="B4" t="s">
        <v>1433</v>
      </c>
      <c r="F4" t="s">
        <v>1434</v>
      </c>
      <c r="J4" t="s">
        <v>1435</v>
      </c>
      <c r="N4" t="s">
        <v>1436</v>
      </c>
      <c r="R4" t="s">
        <v>1439</v>
      </c>
      <c r="V4" t="s">
        <v>1440</v>
      </c>
      <c r="W4" t="s">
        <v>1443</v>
      </c>
    </row>
    <row r="5" spans="2:33">
      <c r="AA5" t="s">
        <v>1428</v>
      </c>
      <c r="AE5" t="s">
        <v>1428</v>
      </c>
    </row>
    <row r="6" spans="2:33">
      <c r="B6" t="s">
        <v>1393</v>
      </c>
      <c r="F6" t="s">
        <v>1393</v>
      </c>
      <c r="J6" t="s">
        <v>1393</v>
      </c>
      <c r="N6" t="s">
        <v>1393</v>
      </c>
      <c r="R6" t="s">
        <v>1393</v>
      </c>
      <c r="V6" t="s">
        <v>1393</v>
      </c>
      <c r="AA6" t="s">
        <v>1444</v>
      </c>
      <c r="AE6" t="s">
        <v>1444</v>
      </c>
    </row>
    <row r="7" spans="2:33" ht="15" thickBot="1">
      <c r="B7" s="295" t="s">
        <v>1431</v>
      </c>
      <c r="C7" s="296" t="s">
        <v>1429</v>
      </c>
      <c r="D7" s="297" t="s">
        <v>1430</v>
      </c>
      <c r="F7" s="295" t="s">
        <v>1431</v>
      </c>
      <c r="G7" s="296" t="s">
        <v>1429</v>
      </c>
      <c r="H7" s="297" t="s">
        <v>1430</v>
      </c>
      <c r="J7" s="295" t="s">
        <v>1431</v>
      </c>
      <c r="K7" s="296" t="s">
        <v>1429</v>
      </c>
      <c r="L7" s="297" t="s">
        <v>1430</v>
      </c>
      <c r="N7" s="295" t="s">
        <v>1431</v>
      </c>
      <c r="O7" s="296" t="s">
        <v>1429</v>
      </c>
      <c r="P7" s="297" t="s">
        <v>1430</v>
      </c>
      <c r="R7" s="295" t="s">
        <v>1431</v>
      </c>
      <c r="S7" s="296" t="s">
        <v>1429</v>
      </c>
      <c r="T7" s="297" t="s">
        <v>1430</v>
      </c>
      <c r="V7" s="295" t="s">
        <v>1431</v>
      </c>
      <c r="W7" s="296" t="s">
        <v>1429</v>
      </c>
      <c r="X7" s="297" t="s">
        <v>1430</v>
      </c>
    </row>
    <row r="8" spans="2:33">
      <c r="B8" t="s">
        <v>1396</v>
      </c>
      <c r="C8" s="298">
        <v>291</v>
      </c>
      <c r="F8" s="302" t="s">
        <v>1396</v>
      </c>
      <c r="G8" s="303">
        <v>291</v>
      </c>
      <c r="J8" s="301" t="s">
        <v>1396</v>
      </c>
      <c r="K8" s="304">
        <v>291</v>
      </c>
      <c r="N8" s="305" t="s">
        <v>1396</v>
      </c>
      <c r="O8" s="298">
        <v>291</v>
      </c>
      <c r="R8" t="s">
        <v>1396</v>
      </c>
      <c r="S8" s="298">
        <v>291</v>
      </c>
      <c r="T8" s="294">
        <f>IF(Tabela35678[[#This Row],[valor ]]&gt;AVERAGE(Tabela35678[[valor ]]),0,1)</f>
        <v>0</v>
      </c>
      <c r="V8" t="s">
        <v>1396</v>
      </c>
      <c r="W8" s="298">
        <v>291</v>
      </c>
      <c r="X8" s="294">
        <f>IF(Tabela356789[[#This Row],[valor ]]&gt;AVERAGE(Tabela356789[[valor ]]),0,1)</f>
        <v>0</v>
      </c>
      <c r="AA8" t="s">
        <v>1393</v>
      </c>
      <c r="AE8" t="s">
        <v>1393</v>
      </c>
    </row>
    <row r="9" spans="2:33" ht="15" thickBot="1">
      <c r="B9" t="s">
        <v>1397</v>
      </c>
      <c r="C9" s="298">
        <v>143</v>
      </c>
      <c r="F9" s="302" t="s">
        <v>1397</v>
      </c>
      <c r="G9" s="303">
        <v>143</v>
      </c>
      <c r="J9" s="301" t="s">
        <v>1397</v>
      </c>
      <c r="K9" s="304">
        <v>143</v>
      </c>
      <c r="N9" s="305" t="s">
        <v>1397</v>
      </c>
      <c r="O9" s="298">
        <v>143</v>
      </c>
      <c r="R9" t="s">
        <v>1397</v>
      </c>
      <c r="S9" s="298">
        <v>143</v>
      </c>
      <c r="T9" s="294">
        <f>IF(Tabela35678[[#This Row],[valor ]]&gt;AVERAGE(Tabela35678[[valor ]]),0,1)</f>
        <v>1</v>
      </c>
      <c r="V9" t="s">
        <v>1397</v>
      </c>
      <c r="W9" s="298">
        <v>143</v>
      </c>
      <c r="X9" s="294">
        <f>IF(Tabela356789[[#This Row],[valor ]]&gt;AVERAGE(Tabela356789[[valor ]]),0,1)</f>
        <v>1</v>
      </c>
      <c r="AA9" s="295" t="s">
        <v>1431</v>
      </c>
      <c r="AB9" s="296" t="s">
        <v>1429</v>
      </c>
      <c r="AC9" s="297" t="s">
        <v>1430</v>
      </c>
      <c r="AE9" s="295" t="s">
        <v>1431</v>
      </c>
      <c r="AF9" s="296" t="s">
        <v>1429</v>
      </c>
      <c r="AG9" s="297" t="s">
        <v>1430</v>
      </c>
    </row>
    <row r="10" spans="2:33">
      <c r="B10" t="s">
        <v>1398</v>
      </c>
      <c r="C10" s="298">
        <v>124</v>
      </c>
      <c r="F10" s="302" t="s">
        <v>1398</v>
      </c>
      <c r="G10" s="303">
        <v>124</v>
      </c>
      <c r="J10" s="301" t="s">
        <v>1398</v>
      </c>
      <c r="K10" s="304">
        <v>124</v>
      </c>
      <c r="N10" s="305" t="s">
        <v>1398</v>
      </c>
      <c r="O10" s="298">
        <v>124</v>
      </c>
      <c r="R10" t="s">
        <v>1398</v>
      </c>
      <c r="S10" s="298">
        <v>124</v>
      </c>
      <c r="T10" s="294">
        <f>IF(Tabela35678[[#This Row],[valor ]]&gt;AVERAGE(Tabela35678[[valor ]]),0,1)</f>
        <v>1</v>
      </c>
      <c r="V10" t="s">
        <v>1398</v>
      </c>
      <c r="W10" s="298">
        <v>124</v>
      </c>
      <c r="X10" s="294">
        <f>IF(Tabela356789[[#This Row],[valor ]]&gt;AVERAGE(Tabela356789[[valor ]]),0,1)</f>
        <v>1</v>
      </c>
      <c r="AA10" t="s">
        <v>1396</v>
      </c>
      <c r="AB10" s="298">
        <v>291</v>
      </c>
      <c r="AC10" s="294">
        <f>IF(Tabela3567810[[#This Row],[valor ]]&gt;AVERAGE(Tabela3567810[[valor ]]),0,1)</f>
        <v>0</v>
      </c>
      <c r="AE10" t="s">
        <v>1396</v>
      </c>
      <c r="AF10" s="298">
        <v>291</v>
      </c>
      <c r="AG10" s="294">
        <f>IF(Tabela356781011[[#This Row],[valor ]]&gt;AVERAGE(Tabela356781011[[valor ]]),0,1)</f>
        <v>0</v>
      </c>
    </row>
    <row r="11" spans="2:33">
      <c r="B11" t="s">
        <v>1399</v>
      </c>
      <c r="C11" s="298">
        <v>212</v>
      </c>
      <c r="F11" s="302" t="s">
        <v>1399</v>
      </c>
      <c r="G11" s="303">
        <v>212</v>
      </c>
      <c r="J11" s="301" t="s">
        <v>1399</v>
      </c>
      <c r="K11" s="304">
        <v>212</v>
      </c>
      <c r="N11" s="305" t="s">
        <v>1399</v>
      </c>
      <c r="O11" s="298">
        <v>212</v>
      </c>
      <c r="R11" t="s">
        <v>1399</v>
      </c>
      <c r="S11" s="298">
        <v>212</v>
      </c>
      <c r="T11" s="294">
        <f>IF(Tabela35678[[#This Row],[valor ]]&gt;AVERAGE(Tabela35678[[valor ]]),0,1)</f>
        <v>0</v>
      </c>
      <c r="V11" t="s">
        <v>1399</v>
      </c>
      <c r="W11" s="298">
        <v>212</v>
      </c>
      <c r="X11" s="294">
        <f>IF(Tabela356789[[#This Row],[valor ]]&gt;AVERAGE(Tabela356789[[valor ]]),0,1)</f>
        <v>0</v>
      </c>
      <c r="AA11" t="s">
        <v>1397</v>
      </c>
      <c r="AB11" s="298">
        <v>143</v>
      </c>
      <c r="AC11" s="294">
        <f>IF(Tabela3567810[[#This Row],[valor ]]&gt;AVERAGE(Tabela3567810[[valor ]]),0,1)</f>
        <v>1</v>
      </c>
      <c r="AE11" t="s">
        <v>1397</v>
      </c>
      <c r="AF11" s="298">
        <v>143</v>
      </c>
      <c r="AG11" s="294">
        <f>IF(Tabela356781011[[#This Row],[valor ]]&gt;AVERAGE(Tabela356781011[[valor ]]),0,1)</f>
        <v>1</v>
      </c>
    </row>
    <row r="12" spans="2:33">
      <c r="B12" t="s">
        <v>1400</v>
      </c>
      <c r="C12" s="298">
        <v>293</v>
      </c>
      <c r="F12" s="302" t="s">
        <v>1400</v>
      </c>
      <c r="G12" s="303">
        <v>293</v>
      </c>
      <c r="J12" s="301" t="s">
        <v>1400</v>
      </c>
      <c r="K12" s="304">
        <v>293</v>
      </c>
      <c r="N12" s="305" t="s">
        <v>1400</v>
      </c>
      <c r="O12" s="298">
        <v>293</v>
      </c>
      <c r="R12" t="s">
        <v>1400</v>
      </c>
      <c r="S12" s="298">
        <v>293</v>
      </c>
      <c r="T12" s="294">
        <f>IF(Tabela35678[[#This Row],[valor ]]&gt;AVERAGE(Tabela35678[[valor ]]),0,1)</f>
        <v>0</v>
      </c>
      <c r="V12" t="s">
        <v>1400</v>
      </c>
      <c r="W12" s="298">
        <v>293</v>
      </c>
      <c r="X12" s="294">
        <f>IF(Tabela356789[[#This Row],[valor ]]&gt;AVERAGE(Tabela356789[[valor ]]),0,1)</f>
        <v>0</v>
      </c>
      <c r="AA12" t="s">
        <v>1398</v>
      </c>
      <c r="AB12" s="298">
        <v>124</v>
      </c>
      <c r="AC12" s="294">
        <f>IF(Tabela3567810[[#This Row],[valor ]]&gt;AVERAGE(Tabela3567810[[valor ]]),0,1)</f>
        <v>1</v>
      </c>
      <c r="AE12" t="s">
        <v>1398</v>
      </c>
      <c r="AF12" s="298">
        <v>124</v>
      </c>
      <c r="AG12" s="294">
        <f>IF(Tabela356781011[[#This Row],[valor ]]&gt;AVERAGE(Tabela356781011[[valor ]]),0,1)</f>
        <v>1</v>
      </c>
    </row>
    <row r="13" spans="2:33">
      <c r="B13" t="s">
        <v>1401</v>
      </c>
      <c r="C13" s="298">
        <v>146</v>
      </c>
      <c r="F13" s="302" t="s">
        <v>1401</v>
      </c>
      <c r="G13" s="303">
        <v>146</v>
      </c>
      <c r="J13" s="301" t="s">
        <v>1401</v>
      </c>
      <c r="K13" s="304">
        <v>146</v>
      </c>
      <c r="N13" s="305" t="s">
        <v>1401</v>
      </c>
      <c r="O13" s="298">
        <v>146</v>
      </c>
      <c r="R13" t="s">
        <v>1401</v>
      </c>
      <c r="S13" s="298">
        <v>146</v>
      </c>
      <c r="T13" s="294">
        <f>IF(Tabela35678[[#This Row],[valor ]]&gt;AVERAGE(Tabela35678[[valor ]]),0,1)</f>
        <v>1</v>
      </c>
      <c r="V13" t="s">
        <v>1401</v>
      </c>
      <c r="W13" s="298">
        <v>146</v>
      </c>
      <c r="X13" s="294">
        <f>IF(Tabela356789[[#This Row],[valor ]]&gt;AVERAGE(Tabela356789[[valor ]]),0,1)</f>
        <v>1</v>
      </c>
      <c r="AA13" t="s">
        <v>1399</v>
      </c>
      <c r="AB13" s="298">
        <v>212</v>
      </c>
      <c r="AC13" s="294">
        <f>IF(Tabela3567810[[#This Row],[valor ]]&gt;AVERAGE(Tabela3567810[[valor ]]),0,1)</f>
        <v>0</v>
      </c>
      <c r="AE13" t="s">
        <v>1399</v>
      </c>
      <c r="AF13" s="298">
        <v>212</v>
      </c>
      <c r="AG13" s="294">
        <f>IF(Tabela356781011[[#This Row],[valor ]]&gt;AVERAGE(Tabela356781011[[valor ]]),0,1)</f>
        <v>0</v>
      </c>
    </row>
    <row r="14" spans="2:33">
      <c r="B14" t="s">
        <v>1402</v>
      </c>
      <c r="C14" s="298">
        <v>142</v>
      </c>
      <c r="F14" s="302" t="s">
        <v>1402</v>
      </c>
      <c r="G14" s="303">
        <v>142</v>
      </c>
      <c r="J14" s="301" t="s">
        <v>1402</v>
      </c>
      <c r="K14" s="304">
        <v>142</v>
      </c>
      <c r="N14" s="305" t="s">
        <v>1402</v>
      </c>
      <c r="O14" s="298">
        <v>142</v>
      </c>
      <c r="R14" t="s">
        <v>1402</v>
      </c>
      <c r="S14" s="298">
        <v>142</v>
      </c>
      <c r="T14" s="294">
        <f>IF(Tabela35678[[#This Row],[valor ]]&gt;AVERAGE(Tabela35678[[valor ]]),0,1)</f>
        <v>1</v>
      </c>
      <c r="V14" t="s">
        <v>1402</v>
      </c>
      <c r="W14" s="298">
        <v>142</v>
      </c>
      <c r="X14" s="294">
        <f>IF(Tabela356789[[#This Row],[valor ]]&gt;AVERAGE(Tabela356789[[valor ]]),0,1)</f>
        <v>1</v>
      </c>
      <c r="AA14" t="s">
        <v>1400</v>
      </c>
      <c r="AB14" s="298">
        <v>293</v>
      </c>
      <c r="AC14" s="294">
        <f>IF(Tabela3567810[[#This Row],[valor ]]&gt;AVERAGE(Tabela3567810[[valor ]]),0,1)</f>
        <v>0</v>
      </c>
      <c r="AE14" t="s">
        <v>1400</v>
      </c>
      <c r="AF14" s="298">
        <v>293</v>
      </c>
      <c r="AG14" s="294">
        <f>IF(Tabela356781011[[#This Row],[valor ]]&gt;AVERAGE(Tabela356781011[[valor ]]),0,1)</f>
        <v>0</v>
      </c>
    </row>
    <row r="15" spans="2:33">
      <c r="B15" t="s">
        <v>1403</v>
      </c>
      <c r="C15" s="298">
        <v>288</v>
      </c>
      <c r="F15" s="302" t="s">
        <v>1403</v>
      </c>
      <c r="G15" s="303">
        <v>288</v>
      </c>
      <c r="J15" s="301" t="s">
        <v>1403</v>
      </c>
      <c r="K15" s="304">
        <v>288</v>
      </c>
      <c r="N15" s="305" t="s">
        <v>1403</v>
      </c>
      <c r="O15" s="298">
        <v>288</v>
      </c>
      <c r="R15" t="s">
        <v>1403</v>
      </c>
      <c r="S15" s="298">
        <v>288</v>
      </c>
      <c r="T15" s="294">
        <f>IF(Tabela35678[[#This Row],[valor ]]&gt;AVERAGE(Tabela35678[[valor ]]),0,1)</f>
        <v>0</v>
      </c>
      <c r="V15" t="s">
        <v>1403</v>
      </c>
      <c r="W15" s="298">
        <v>288</v>
      </c>
      <c r="X15" s="294">
        <f>IF(Tabela356789[[#This Row],[valor ]]&gt;AVERAGE(Tabela356789[[valor ]]),0,1)</f>
        <v>0</v>
      </c>
      <c r="AA15" t="s">
        <v>1401</v>
      </c>
      <c r="AB15" s="298">
        <v>146</v>
      </c>
      <c r="AC15" s="294">
        <f>IF(Tabela3567810[[#This Row],[valor ]]&gt;AVERAGE(Tabela3567810[[valor ]]),0,1)</f>
        <v>1</v>
      </c>
      <c r="AE15" t="s">
        <v>1401</v>
      </c>
      <c r="AF15" s="298">
        <v>146</v>
      </c>
      <c r="AG15" s="294">
        <f>IF(Tabela356781011[[#This Row],[valor ]]&gt;AVERAGE(Tabela356781011[[valor ]]),0,1)</f>
        <v>1</v>
      </c>
    </row>
    <row r="16" spans="2:33">
      <c r="B16" t="s">
        <v>1404</v>
      </c>
      <c r="C16" s="298">
        <v>157</v>
      </c>
      <c r="F16" s="302" t="s">
        <v>1404</v>
      </c>
      <c r="G16" s="303">
        <v>157</v>
      </c>
      <c r="J16" s="301" t="s">
        <v>1404</v>
      </c>
      <c r="K16" s="304">
        <v>157</v>
      </c>
      <c r="N16" s="305" t="s">
        <v>1404</v>
      </c>
      <c r="O16" s="298">
        <v>157</v>
      </c>
      <c r="R16" t="s">
        <v>1404</v>
      </c>
      <c r="S16" s="298">
        <v>157</v>
      </c>
      <c r="T16" s="294">
        <f>IF(Tabela35678[[#This Row],[valor ]]&gt;AVERAGE(Tabela35678[[valor ]]),0,1)</f>
        <v>1</v>
      </c>
      <c r="V16" t="s">
        <v>1404</v>
      </c>
      <c r="W16" s="298">
        <v>157</v>
      </c>
      <c r="X16" s="294">
        <f>IF(Tabela356789[[#This Row],[valor ]]&gt;AVERAGE(Tabela356789[[valor ]]),0,1)</f>
        <v>1</v>
      </c>
      <c r="AA16" t="s">
        <v>1402</v>
      </c>
      <c r="AB16" s="298">
        <v>142</v>
      </c>
      <c r="AC16" s="294">
        <f>IF(Tabela3567810[[#This Row],[valor ]]&gt;AVERAGE(Tabela3567810[[valor ]]),0,1)</f>
        <v>1</v>
      </c>
      <c r="AE16" t="s">
        <v>1402</v>
      </c>
      <c r="AF16" s="298">
        <v>142</v>
      </c>
      <c r="AG16" s="294">
        <f>IF(Tabela356781011[[#This Row],[valor ]]&gt;AVERAGE(Tabela356781011[[valor ]]),0,1)</f>
        <v>1</v>
      </c>
    </row>
    <row r="17" spans="2:33">
      <c r="B17" t="s">
        <v>1405</v>
      </c>
      <c r="C17" s="298">
        <v>219</v>
      </c>
      <c r="F17" s="302" t="s">
        <v>1405</v>
      </c>
      <c r="G17" s="303">
        <v>219</v>
      </c>
      <c r="J17" s="301" t="s">
        <v>1405</v>
      </c>
      <c r="K17" s="304">
        <v>219</v>
      </c>
      <c r="N17" s="305" t="s">
        <v>1405</v>
      </c>
      <c r="O17" s="298">
        <v>219</v>
      </c>
      <c r="R17" t="s">
        <v>1405</v>
      </c>
      <c r="S17" s="298">
        <v>219</v>
      </c>
      <c r="T17" s="294">
        <f>IF(Tabela35678[[#This Row],[valor ]]&gt;AVERAGE(Tabela35678[[valor ]]),0,1)</f>
        <v>0</v>
      </c>
      <c r="V17" t="s">
        <v>1405</v>
      </c>
      <c r="W17" s="298">
        <v>219</v>
      </c>
      <c r="X17" s="294">
        <f>IF(Tabela356789[[#This Row],[valor ]]&gt;AVERAGE(Tabela356789[[valor ]]),0,1)</f>
        <v>0</v>
      </c>
      <c r="AA17" t="s">
        <v>1403</v>
      </c>
      <c r="AB17" s="298">
        <v>288</v>
      </c>
      <c r="AC17" s="294">
        <f>IF(Tabela3567810[[#This Row],[valor ]]&gt;AVERAGE(Tabela3567810[[valor ]]),0,1)</f>
        <v>0</v>
      </c>
      <c r="AE17" t="s">
        <v>1403</v>
      </c>
      <c r="AF17" s="298">
        <v>288</v>
      </c>
      <c r="AG17" s="294">
        <f>IF(Tabela356781011[[#This Row],[valor ]]&gt;AVERAGE(Tabela356781011[[valor ]]),0,1)</f>
        <v>0</v>
      </c>
    </row>
    <row r="18" spans="2:33">
      <c r="B18" t="s">
        <v>1406</v>
      </c>
      <c r="C18" s="298">
        <v>144</v>
      </c>
      <c r="F18" s="302" t="s">
        <v>1406</v>
      </c>
      <c r="G18" s="303">
        <v>144</v>
      </c>
      <c r="J18" s="301" t="s">
        <v>1406</v>
      </c>
      <c r="K18" s="304">
        <v>144</v>
      </c>
      <c r="N18" s="305" t="s">
        <v>1406</v>
      </c>
      <c r="O18" s="298">
        <v>144</v>
      </c>
      <c r="R18" t="s">
        <v>1406</v>
      </c>
      <c r="S18" s="298">
        <v>144</v>
      </c>
      <c r="T18" s="294">
        <f>IF(Tabela35678[[#This Row],[valor ]]&gt;AVERAGE(Tabela35678[[valor ]]),0,1)</f>
        <v>1</v>
      </c>
      <c r="V18" t="s">
        <v>1406</v>
      </c>
      <c r="W18" s="298">
        <v>144</v>
      </c>
      <c r="X18" s="294">
        <f>IF(Tabela356789[[#This Row],[valor ]]&gt;AVERAGE(Tabela356789[[valor ]]),0,1)</f>
        <v>1</v>
      </c>
      <c r="AA18" t="s">
        <v>1404</v>
      </c>
      <c r="AB18" s="298">
        <v>157</v>
      </c>
      <c r="AC18" s="294">
        <f>IF(Tabela3567810[[#This Row],[valor ]]&gt;AVERAGE(Tabela3567810[[valor ]]),0,1)</f>
        <v>1</v>
      </c>
      <c r="AE18" t="s">
        <v>1404</v>
      </c>
      <c r="AF18" s="298">
        <v>157</v>
      </c>
      <c r="AG18" s="294">
        <f>IF(Tabela356781011[[#This Row],[valor ]]&gt;AVERAGE(Tabela356781011[[valor ]]),0,1)</f>
        <v>1</v>
      </c>
    </row>
    <row r="19" spans="2:33">
      <c r="B19" t="s">
        <v>1407</v>
      </c>
      <c r="C19" s="298">
        <v>178.22</v>
      </c>
      <c r="F19" s="302" t="s">
        <v>1407</v>
      </c>
      <c r="G19" s="303">
        <v>178.21818181818199</v>
      </c>
      <c r="J19" s="301" t="s">
        <v>1407</v>
      </c>
      <c r="K19" s="304">
        <v>124</v>
      </c>
      <c r="N19" s="305" t="s">
        <v>1407</v>
      </c>
      <c r="O19" s="298">
        <v>124</v>
      </c>
      <c r="R19" t="s">
        <v>1407</v>
      </c>
      <c r="S19" s="298">
        <v>124</v>
      </c>
      <c r="T19" s="294">
        <f>IF(Tabela35678[[#This Row],[valor ]]&gt;AVERAGE(Tabela35678[[valor ]]),0,1)</f>
        <v>1</v>
      </c>
      <c r="V19" t="s">
        <v>1407</v>
      </c>
      <c r="W19" s="298">
        <v>124</v>
      </c>
      <c r="X19" s="294">
        <f>IF(Tabela356789[[#This Row],[valor ]]&gt;AVERAGE(Tabela356789[[valor ]]),0,1)</f>
        <v>1</v>
      </c>
      <c r="AA19" t="s">
        <v>1405</v>
      </c>
      <c r="AB19" s="298">
        <v>219</v>
      </c>
      <c r="AC19" s="294">
        <f>IF(Tabela3567810[[#This Row],[valor ]]&gt;AVERAGE(Tabela3567810[[valor ]]),0,1)</f>
        <v>0</v>
      </c>
      <c r="AE19" t="s">
        <v>1405</v>
      </c>
      <c r="AF19" s="298">
        <v>219</v>
      </c>
      <c r="AG19" s="294">
        <f>IF(Tabela356781011[[#This Row],[valor ]]&gt;AVERAGE(Tabela356781011[[valor ]]),0,1)</f>
        <v>0</v>
      </c>
    </row>
    <row r="20" spans="2:33">
      <c r="B20" t="s">
        <v>1432</v>
      </c>
      <c r="C20" s="299">
        <f>SUBTOTAL(109,Tabela3[[valor ]])</f>
        <v>2337.2199999999998</v>
      </c>
      <c r="D20">
        <f>SUBTOTAL(103,Tabela3[[indidcador ]])</f>
        <v>0</v>
      </c>
      <c r="F20" t="s">
        <v>1432</v>
      </c>
      <c r="G20" s="300">
        <f>SUBTOTAL(109,Tabela35[[valor ]])</f>
        <v>2337.2181818181821</v>
      </c>
      <c r="H20">
        <f>SUBTOTAL(103,Tabela35[[indidcador ]])</f>
        <v>0</v>
      </c>
      <c r="J20" t="s">
        <v>1432</v>
      </c>
      <c r="K20" s="299">
        <f>SUBTOTAL(109,Tabela356[[valor ]])</f>
        <v>2283</v>
      </c>
      <c r="L20">
        <f>SUBTOTAL(103,Tabela356[[indidcador ]])</f>
        <v>0</v>
      </c>
      <c r="N20" t="s">
        <v>1432</v>
      </c>
      <c r="O20" s="299">
        <f>SUBTOTAL(109,Tabela3567[[valor ]])</f>
        <v>2283</v>
      </c>
      <c r="P20">
        <f>SUBTOTAL(103,Tabela3567[[indidcador ]])</f>
        <v>0</v>
      </c>
      <c r="R20" t="s">
        <v>1432</v>
      </c>
      <c r="S20" s="299">
        <f>SUBTOTAL(109,Tabela35678[[valor ]])</f>
        <v>2283</v>
      </c>
      <c r="V20" t="s">
        <v>1432</v>
      </c>
      <c r="W20" s="299">
        <f>SUBTOTAL(109,Tabela356789[[valor ]])</f>
        <v>2283</v>
      </c>
      <c r="AA20" t="s">
        <v>1406</v>
      </c>
      <c r="AB20" s="298">
        <v>144</v>
      </c>
      <c r="AC20" s="294">
        <f>IF(Tabela3567810[[#This Row],[valor ]]&gt;AVERAGE(Tabela3567810[[valor ]]),0,1)</f>
        <v>1</v>
      </c>
      <c r="AE20" t="s">
        <v>1406</v>
      </c>
      <c r="AF20" s="298">
        <v>144</v>
      </c>
      <c r="AG20" s="294">
        <f>IF(Tabela356781011[[#This Row],[valor ]]&gt;AVERAGE(Tabela356781011[[valor ]]),0,1)</f>
        <v>1</v>
      </c>
    </row>
    <row r="21" spans="2:33">
      <c r="AA21" t="s">
        <v>1407</v>
      </c>
      <c r="AB21" s="298">
        <v>124</v>
      </c>
      <c r="AC21" s="294">
        <f>IF(Tabela3567810[[#This Row],[valor ]]&gt;AVERAGE(Tabela3567810[[valor ]]),0,1)</f>
        <v>1</v>
      </c>
      <c r="AE21" t="s">
        <v>1407</v>
      </c>
      <c r="AF21" s="298">
        <v>124</v>
      </c>
      <c r="AG21" s="294">
        <f>IF(Tabela356781011[[#This Row],[valor ]]&gt;AVERAGE(Tabela356781011[[valor ]]),0,1)</f>
        <v>1</v>
      </c>
    </row>
    <row r="22" spans="2:33">
      <c r="T22" t="s">
        <v>1441</v>
      </c>
      <c r="AA22" t="s">
        <v>1432</v>
      </c>
      <c r="AB22" s="299">
        <f>SUBTOTAL(109,Tabela3567810[[valor ]])</f>
        <v>2283</v>
      </c>
      <c r="AE22" t="s">
        <v>1432</v>
      </c>
      <c r="AF22" s="299">
        <f>SUBTOTAL(109,Tabela356781011[[valor ]])</f>
        <v>2283</v>
      </c>
    </row>
    <row r="23" spans="2:33">
      <c r="T23" t="s">
        <v>1442</v>
      </c>
    </row>
    <row r="24" spans="2:33">
      <c r="AC24" t="s">
        <v>1441</v>
      </c>
      <c r="AG24" t="s">
        <v>1441</v>
      </c>
    </row>
    <row r="25" spans="2:33">
      <c r="AC25" t="s">
        <v>1442</v>
      </c>
    </row>
  </sheetData>
  <conditionalFormatting sqref="C8:C19">
    <cfRule type="cellIs" dxfId="56" priority="18" operator="lessThan">
      <formula>200</formula>
    </cfRule>
  </conditionalFormatting>
  <conditionalFormatting sqref="F8:G19">
    <cfRule type="expression" dxfId="55" priority="14">
      <formula>$G8&lt;200</formula>
    </cfRule>
  </conditionalFormatting>
  <conditionalFormatting sqref="J8:K19">
    <cfRule type="expression" dxfId="54" priority="12">
      <formula>$K8&gt;AVERAGE($K$8:$K$18)</formula>
    </cfRule>
  </conditionalFormatting>
  <conditionalFormatting sqref="N8:N19">
    <cfRule type="expression" dxfId="53" priority="11">
      <formula>$O8&gt;AVERAGE($O$8:$O$19)</formula>
    </cfRule>
  </conditionalFormatting>
  <conditionalFormatting sqref="T8:T19">
    <cfRule type="iconSet" priority="5">
      <iconSet iconSet="3Arrows" showValue="0">
        <cfvo type="percent" val="0"/>
        <cfvo type="percent" val="33"/>
        <cfvo type="percent" val="67"/>
      </iconSet>
    </cfRule>
  </conditionalFormatting>
  <conditionalFormatting sqref="AB10:AB22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{51868F49-AA16-4E42-AE97-2E3ACB877437}</x14:id>
        </ext>
      </extLst>
    </cfRule>
  </conditionalFormatting>
  <pageMargins left="0.511811024" right="0.511811024" top="0.78740157499999996" bottom="0.78740157499999996" header="0.31496062000000002" footer="0.31496062000000002"/>
  <tableParts count="8">
    <tablePart r:id="rId1"/>
    <tablePart r:id="rId2"/>
    <tablePart r:id="rId3"/>
    <tablePart r:id="rId4"/>
    <tablePart r:id="rId5"/>
    <tablePart r:id="rId6"/>
    <tablePart r:id="rId7"/>
    <tablePart r:id="rId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1868F49-AA16-4E42-AE97-2E3ACB8774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AB10:AB22</xm:sqref>
        </x14:conditionalFormatting>
        <x14:conditionalFormatting xmlns:xm="http://schemas.microsoft.com/office/excel/2006/main">
          <x14:cfRule type="iconSet" priority="4" id="{30301DBA-D731-4EC9-9C5C-C8AFC4D77143}">
            <x14:iconSet showValue="0" custom="1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  <x14:cfIcon iconSet="NoIcons" iconId="0"/>
              <x14:cfIcon iconSet="3TrafficLights1" iconId="1"/>
              <x14:cfIcon iconSet="3TrafficLights1" iconId="0"/>
            </x14:iconSet>
          </x14:cfRule>
          <xm:sqref>X8:X19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73FD-48AF-4F91-9282-8FBF4CB02BC3}">
  <sheetPr codeName="Sheet4"/>
  <dimension ref="B2:K23"/>
  <sheetViews>
    <sheetView workbookViewId="0">
      <selection activeCell="D10" sqref="D10"/>
    </sheetView>
  </sheetViews>
  <sheetFormatPr defaultRowHeight="14.4"/>
  <cols>
    <col min="2" max="2" width="14.5546875" customWidth="1"/>
    <col min="3" max="3" width="16.33203125" customWidth="1"/>
    <col min="4" max="4" width="12.33203125" customWidth="1"/>
    <col min="7" max="7" width="16.5546875" customWidth="1"/>
    <col min="8" max="8" width="18.44140625" customWidth="1"/>
    <col min="9" max="9" width="12.5546875" customWidth="1"/>
    <col min="10" max="10" width="12" bestFit="1" customWidth="1"/>
    <col min="11" max="11" width="10.6640625" bestFit="1" customWidth="1"/>
  </cols>
  <sheetData>
    <row r="2" spans="2:11">
      <c r="B2" t="s">
        <v>1455</v>
      </c>
      <c r="G2" t="s">
        <v>1456</v>
      </c>
    </row>
    <row r="3" spans="2:11">
      <c r="B3" t="s">
        <v>1445</v>
      </c>
      <c r="G3" t="s">
        <v>1445</v>
      </c>
    </row>
    <row r="5" spans="2:11">
      <c r="B5" s="248" t="s">
        <v>1446</v>
      </c>
      <c r="C5" s="248" t="s">
        <v>1447</v>
      </c>
      <c r="D5" s="248" t="s">
        <v>1448</v>
      </c>
      <c r="G5" s="248" t="s">
        <v>1446</v>
      </c>
      <c r="H5" s="248" t="s">
        <v>1447</v>
      </c>
      <c r="I5" s="248" t="s">
        <v>1458</v>
      </c>
      <c r="J5" s="248" t="s">
        <v>1457</v>
      </c>
      <c r="K5" s="248" t="s">
        <v>1459</v>
      </c>
    </row>
    <row r="6" spans="2:11">
      <c r="B6" s="208">
        <v>1001</v>
      </c>
      <c r="C6" s="306">
        <v>44285</v>
      </c>
      <c r="D6" s="307">
        <f ca="1">IF(C6-TODAY()&gt;8,3,IF(C6-TODAY()&lt;2,1,2))</f>
        <v>1</v>
      </c>
      <c r="G6" s="208">
        <v>1001</v>
      </c>
      <c r="H6" s="306">
        <v>44285</v>
      </c>
      <c r="I6" s="307">
        <f ca="1">IF(H6-TODAY()&gt;8,3,IF(H6-TODAY()&lt;2,1,2))</f>
        <v>1</v>
      </c>
      <c r="J6" s="306"/>
      <c r="K6" s="307">
        <f ca="1">IF(J6&lt;&gt;"","",IF(H6-TODAY()&gt;8,3,IF(H6-TODAY()&lt;2,1,2)))</f>
        <v>1</v>
      </c>
    </row>
    <row r="7" spans="2:11">
      <c r="B7" s="208">
        <v>1002</v>
      </c>
      <c r="C7" s="306">
        <v>44285</v>
      </c>
      <c r="D7" s="307">
        <f t="shared" ref="D7:D15" ca="1" si="0">IF(C7-TODAY()&gt;8,3,IF(C7-TODAY()&lt;2,1,2))</f>
        <v>1</v>
      </c>
      <c r="G7" s="208">
        <v>1002</v>
      </c>
      <c r="H7" s="306">
        <v>44285</v>
      </c>
      <c r="I7" s="307">
        <f t="shared" ref="I7:I15" ca="1" si="1">IF(H7-TODAY()&gt;8,3,IF(H7-TODAY()&lt;2,1,2))</f>
        <v>1</v>
      </c>
      <c r="J7" s="306"/>
      <c r="K7" s="307">
        <f t="shared" ref="K7:K15" ca="1" si="2">IF(J7&lt;&gt;"","",IF(H7-TODAY()&gt;8,3,IF(H7-TODAY()&lt;2,1,2)))</f>
        <v>1</v>
      </c>
    </row>
    <row r="8" spans="2:11">
      <c r="B8" s="208">
        <v>1003</v>
      </c>
      <c r="C8" s="306">
        <v>44259</v>
      </c>
      <c r="D8" s="307">
        <f t="shared" ca="1" si="0"/>
        <v>1</v>
      </c>
      <c r="G8" s="208">
        <v>1003</v>
      </c>
      <c r="H8" s="306">
        <v>44259</v>
      </c>
      <c r="I8" s="307">
        <f t="shared" ca="1" si="1"/>
        <v>1</v>
      </c>
      <c r="J8" s="306">
        <v>44259</v>
      </c>
      <c r="K8" s="307" t="str">
        <f t="shared" ca="1" si="2"/>
        <v/>
      </c>
    </row>
    <row r="9" spans="2:11">
      <c r="B9" s="208">
        <v>1004</v>
      </c>
      <c r="C9" s="306">
        <v>44265</v>
      </c>
      <c r="D9" s="307">
        <f t="shared" ca="1" si="0"/>
        <v>1</v>
      </c>
      <c r="G9" s="208">
        <v>1004</v>
      </c>
      <c r="H9" s="306">
        <v>44265</v>
      </c>
      <c r="I9" s="307">
        <f t="shared" ca="1" si="1"/>
        <v>1</v>
      </c>
      <c r="J9" s="306"/>
      <c r="K9" s="307">
        <f t="shared" ca="1" si="2"/>
        <v>1</v>
      </c>
    </row>
    <row r="10" spans="2:11">
      <c r="B10" s="208">
        <v>1005</v>
      </c>
      <c r="C10" s="306">
        <v>44275</v>
      </c>
      <c r="D10" s="307">
        <f t="shared" ca="1" si="0"/>
        <v>1</v>
      </c>
      <c r="G10" s="208">
        <v>1005</v>
      </c>
      <c r="H10" s="306">
        <v>44275</v>
      </c>
      <c r="I10" s="307">
        <f t="shared" ca="1" si="1"/>
        <v>1</v>
      </c>
      <c r="J10" s="306"/>
      <c r="K10" s="307">
        <f t="shared" ca="1" si="2"/>
        <v>1</v>
      </c>
    </row>
    <row r="11" spans="2:11">
      <c r="B11" s="208">
        <v>1006</v>
      </c>
      <c r="C11" s="306">
        <v>44268</v>
      </c>
      <c r="D11" s="307">
        <f t="shared" ca="1" si="0"/>
        <v>1</v>
      </c>
      <c r="G11" s="208">
        <v>1006</v>
      </c>
      <c r="H11" s="306">
        <v>44268</v>
      </c>
      <c r="I11" s="307">
        <f t="shared" ca="1" si="1"/>
        <v>1</v>
      </c>
      <c r="J11" s="306">
        <v>44270</v>
      </c>
      <c r="K11" s="307" t="str">
        <f t="shared" ca="1" si="2"/>
        <v/>
      </c>
    </row>
    <row r="12" spans="2:11">
      <c r="B12" s="208">
        <v>1007</v>
      </c>
      <c r="C12" s="306">
        <v>44281</v>
      </c>
      <c r="D12" s="307">
        <f t="shared" ca="1" si="0"/>
        <v>1</v>
      </c>
      <c r="G12" s="208">
        <v>1007</v>
      </c>
      <c r="H12" s="306">
        <v>44281</v>
      </c>
      <c r="I12" s="307">
        <f t="shared" ca="1" si="1"/>
        <v>1</v>
      </c>
      <c r="J12" s="306"/>
      <c r="K12" s="307">
        <f t="shared" ca="1" si="2"/>
        <v>1</v>
      </c>
    </row>
    <row r="13" spans="2:11">
      <c r="B13" s="208">
        <v>1008</v>
      </c>
      <c r="C13" s="306">
        <v>44285</v>
      </c>
      <c r="D13" s="307">
        <f t="shared" ca="1" si="0"/>
        <v>1</v>
      </c>
      <c r="G13" s="208">
        <v>1008</v>
      </c>
      <c r="H13" s="306">
        <v>44285</v>
      </c>
      <c r="I13" s="307">
        <f t="shared" ca="1" si="1"/>
        <v>1</v>
      </c>
      <c r="J13" s="306"/>
      <c r="K13" s="307">
        <f t="shared" ca="1" si="2"/>
        <v>1</v>
      </c>
    </row>
    <row r="14" spans="2:11">
      <c r="B14" s="208">
        <v>1009</v>
      </c>
      <c r="C14" s="306">
        <v>44278</v>
      </c>
      <c r="D14" s="307">
        <f t="shared" ca="1" si="0"/>
        <v>1</v>
      </c>
      <c r="G14" s="208">
        <v>1009</v>
      </c>
      <c r="H14" s="306">
        <v>44278</v>
      </c>
      <c r="I14" s="307">
        <f t="shared" ca="1" si="1"/>
        <v>1</v>
      </c>
      <c r="J14" s="306"/>
      <c r="K14" s="307">
        <f t="shared" ca="1" si="2"/>
        <v>1</v>
      </c>
    </row>
    <row r="15" spans="2:11">
      <c r="B15" s="208">
        <v>1010</v>
      </c>
      <c r="C15" s="306">
        <v>44273</v>
      </c>
      <c r="D15" s="307">
        <f t="shared" ca="1" si="0"/>
        <v>1</v>
      </c>
      <c r="G15" s="208">
        <v>1010</v>
      </c>
      <c r="H15" s="306">
        <v>44273</v>
      </c>
      <c r="I15" s="307">
        <f t="shared" ca="1" si="1"/>
        <v>1</v>
      </c>
      <c r="J15" s="306"/>
      <c r="K15" s="307">
        <f t="shared" ca="1" si="2"/>
        <v>1</v>
      </c>
    </row>
    <row r="17" spans="2:7">
      <c r="B17" t="s">
        <v>1449</v>
      </c>
      <c r="G17" t="s">
        <v>1449</v>
      </c>
    </row>
    <row r="18" spans="2:7">
      <c r="B18" t="s">
        <v>1450</v>
      </c>
      <c r="G18" t="s">
        <v>1450</v>
      </c>
    </row>
    <row r="19" spans="2:7">
      <c r="B19" t="s">
        <v>1451</v>
      </c>
      <c r="G19" t="s">
        <v>1451</v>
      </c>
    </row>
    <row r="21" spans="2:7">
      <c r="B21" t="s">
        <v>1452</v>
      </c>
      <c r="G21" t="s">
        <v>1452</v>
      </c>
    </row>
    <row r="22" spans="2:7">
      <c r="B22" t="s">
        <v>1453</v>
      </c>
      <c r="G22" t="s">
        <v>1453</v>
      </c>
    </row>
    <row r="23" spans="2:7">
      <c r="B23" t="s">
        <v>1454</v>
      </c>
      <c r="G23" t="s">
        <v>1454</v>
      </c>
    </row>
  </sheetData>
  <conditionalFormatting sqref="D6:D15">
    <cfRule type="iconSet" priority="4">
      <iconSet iconSet="3Arrows" showValue="0">
        <cfvo type="percent" val="0"/>
        <cfvo type="percent" val="33"/>
        <cfvo type="percent" val="67"/>
      </iconSet>
    </cfRule>
  </conditionalFormatting>
  <conditionalFormatting sqref="I6:I15">
    <cfRule type="iconSet" priority="3">
      <iconSet iconSet="3Arrows" showValue="0">
        <cfvo type="percent" val="0"/>
        <cfvo type="percent" val="33"/>
        <cfvo type="percent" val="67"/>
      </iconSet>
    </cfRule>
  </conditionalFormatting>
  <conditionalFormatting sqref="K6:K15">
    <cfRule type="iconSet" priority="1">
      <iconSet iconSet="3Arrows" showValue="0">
        <cfvo type="percent" val="0"/>
        <cfvo type="percent" val="33"/>
        <cfvo type="percent" val="67"/>
      </iconSet>
    </cfRule>
  </conditionalFormatting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2BB6C-D2EC-4B21-9C9A-39E67CCD3B16}">
  <sheetPr codeName="Sheet5">
    <tabColor rgb="FFFF7C80"/>
  </sheetPr>
  <dimension ref="A1:Y22"/>
  <sheetViews>
    <sheetView showGridLines="0" topLeftCell="S1" workbookViewId="0">
      <selection activeCell="I14" sqref="I14"/>
    </sheetView>
  </sheetViews>
  <sheetFormatPr defaultRowHeight="14.4" outlineLevelCol="1"/>
  <cols>
    <col min="1" max="1" width="25.6640625" style="320" customWidth="1"/>
    <col min="2" max="3" width="20.6640625" style="317" customWidth="1"/>
    <col min="4" max="4" width="15.6640625" style="317" customWidth="1"/>
    <col min="5" max="7" width="20.6640625" style="317" customWidth="1"/>
    <col min="8" max="8" width="20.6640625" style="329" customWidth="1"/>
    <col min="9" max="9" width="21" style="315" customWidth="1"/>
    <col min="10" max="10" width="79.109375" customWidth="1" outlineLevel="1"/>
    <col min="11" max="22" width="9.109375" customWidth="1" outlineLevel="1"/>
    <col min="23" max="23" width="24.44140625" style="294" customWidth="1" outlineLevel="1"/>
    <col min="24" max="24" width="82.88671875" style="294" customWidth="1" outlineLevel="1"/>
    <col min="25" max="25" width="107.109375" customWidth="1" outlineLevel="1"/>
  </cols>
  <sheetData>
    <row r="1" spans="1:25" ht="15" thickBot="1">
      <c r="A1" s="319" t="s">
        <v>1473</v>
      </c>
      <c r="B1" s="318"/>
      <c r="C1" s="318"/>
      <c r="D1" s="318"/>
      <c r="E1" s="318"/>
      <c r="F1" s="318"/>
      <c r="G1" s="318"/>
      <c r="H1" s="325"/>
      <c r="J1" s="314" t="s">
        <v>1460</v>
      </c>
      <c r="K1" s="308" t="s">
        <v>1462</v>
      </c>
      <c r="L1" s="308"/>
      <c r="M1" s="308"/>
      <c r="N1" s="308"/>
      <c r="O1" s="308"/>
      <c r="P1" s="308"/>
      <c r="Q1" s="308"/>
      <c r="R1" s="308"/>
      <c r="S1" s="308"/>
      <c r="T1" s="308"/>
      <c r="U1" s="309"/>
      <c r="V1" s="206"/>
      <c r="W1" s="313" t="s">
        <v>1466</v>
      </c>
      <c r="X1" s="313" t="s">
        <v>1467</v>
      </c>
      <c r="Y1" s="313" t="s">
        <v>1486</v>
      </c>
    </row>
    <row r="2" spans="1:25">
      <c r="A2" s="319" t="s">
        <v>1474</v>
      </c>
      <c r="B2" s="318"/>
      <c r="C2" s="318"/>
      <c r="D2" s="318"/>
      <c r="E2" s="318"/>
      <c r="F2" s="318"/>
      <c r="G2" s="318"/>
      <c r="H2" s="325"/>
      <c r="J2" s="206" t="s">
        <v>1461</v>
      </c>
      <c r="K2" s="206" t="s">
        <v>1463</v>
      </c>
      <c r="L2" s="206"/>
      <c r="M2" s="206"/>
      <c r="N2" s="206"/>
      <c r="O2" s="206"/>
      <c r="P2" s="206"/>
      <c r="Q2" s="206"/>
      <c r="R2" s="206"/>
      <c r="S2" s="206"/>
      <c r="T2" s="206"/>
      <c r="U2" s="310"/>
      <c r="V2" s="206"/>
      <c r="W2" s="294" t="s">
        <v>1468</v>
      </c>
      <c r="X2" s="317" t="s">
        <v>1469</v>
      </c>
      <c r="Y2" s="294"/>
    </row>
    <row r="3" spans="1:25">
      <c r="A3" s="319"/>
      <c r="B3" s="318"/>
      <c r="C3" s="318"/>
      <c r="D3" s="318"/>
      <c r="E3" s="318"/>
      <c r="F3" s="318"/>
      <c r="G3" s="318"/>
      <c r="H3" s="325"/>
      <c r="J3" s="206"/>
      <c r="K3" s="206"/>
      <c r="L3" s="206"/>
      <c r="M3" s="206"/>
      <c r="N3" s="206"/>
      <c r="O3" s="206"/>
      <c r="P3" s="206"/>
      <c r="Q3" s="206"/>
      <c r="R3" s="206"/>
      <c r="S3" s="206"/>
      <c r="T3" s="206"/>
      <c r="U3" s="310"/>
      <c r="V3" s="206"/>
      <c r="W3" s="294" t="s">
        <v>1470</v>
      </c>
      <c r="X3" s="317" t="s">
        <v>1472</v>
      </c>
      <c r="Y3" s="294"/>
    </row>
    <row r="4" spans="1:25">
      <c r="A4" s="330" t="s">
        <v>1475</v>
      </c>
      <c r="B4" s="330" t="s">
        <v>1476</v>
      </c>
      <c r="C4" s="330" t="s">
        <v>1477</v>
      </c>
      <c r="D4" s="330" t="s">
        <v>1516</v>
      </c>
      <c r="E4" s="330" t="s">
        <v>1478</v>
      </c>
      <c r="F4" s="330" t="s">
        <v>1479</v>
      </c>
      <c r="G4" s="330" t="s">
        <v>1480</v>
      </c>
      <c r="H4" s="331" t="s">
        <v>1481</v>
      </c>
      <c r="I4" s="316"/>
      <c r="J4" s="206"/>
      <c r="K4" s="206" t="s">
        <v>1464</v>
      </c>
      <c r="L4" s="206"/>
      <c r="M4" s="206"/>
      <c r="N4" s="206"/>
      <c r="O4" s="206"/>
      <c r="P4" s="206"/>
      <c r="Q4" s="206"/>
      <c r="R4" s="206"/>
      <c r="S4" s="206"/>
      <c r="T4" s="206"/>
      <c r="U4" s="310"/>
      <c r="V4" s="206"/>
      <c r="W4" s="294" t="s">
        <v>1471</v>
      </c>
      <c r="X4" s="317" t="s">
        <v>1483</v>
      </c>
      <c r="Y4" s="294" t="s">
        <v>1511</v>
      </c>
    </row>
    <row r="5" spans="1:25" ht="15.6" thickBot="1">
      <c r="A5" s="332" t="s">
        <v>1489</v>
      </c>
      <c r="B5" s="333">
        <v>50000</v>
      </c>
      <c r="C5" s="333">
        <v>133141</v>
      </c>
      <c r="D5" s="333" t="s">
        <v>1062</v>
      </c>
      <c r="E5" s="333">
        <v>10651.28</v>
      </c>
      <c r="F5" s="333">
        <v>800</v>
      </c>
      <c r="G5" s="333">
        <v>2719</v>
      </c>
      <c r="H5" s="333">
        <v>14170.28</v>
      </c>
      <c r="J5" s="311"/>
      <c r="K5" s="311"/>
      <c r="L5" s="311"/>
      <c r="M5" s="311"/>
      <c r="N5" s="311"/>
      <c r="O5" s="311"/>
      <c r="P5" s="311"/>
      <c r="Q5" s="311"/>
      <c r="R5" s="311"/>
      <c r="S5" s="311"/>
      <c r="T5" s="311"/>
      <c r="U5" s="312"/>
      <c r="V5" s="206"/>
      <c r="W5" s="294" t="s">
        <v>1482</v>
      </c>
      <c r="X5" s="317" t="s">
        <v>1485</v>
      </c>
      <c r="Y5" s="294"/>
    </row>
    <row r="6" spans="1:25" ht="15.6" thickBot="1">
      <c r="A6" s="332" t="s">
        <v>1498</v>
      </c>
      <c r="B6" s="333">
        <v>50000</v>
      </c>
      <c r="C6" s="333">
        <v>35444</v>
      </c>
      <c r="D6" s="333" t="s">
        <v>1059</v>
      </c>
      <c r="E6" s="333">
        <v>1417.76</v>
      </c>
      <c r="F6" s="333">
        <v>0</v>
      </c>
      <c r="G6" s="333">
        <v>3543</v>
      </c>
      <c r="H6" s="333">
        <v>4960.76</v>
      </c>
      <c r="J6" s="314" t="s">
        <v>1465</v>
      </c>
      <c r="W6" s="294" t="s">
        <v>1484</v>
      </c>
      <c r="X6" s="317" t="s">
        <v>1487</v>
      </c>
      <c r="Y6" s="294" t="s">
        <v>1512</v>
      </c>
    </row>
    <row r="7" spans="1:25" ht="15">
      <c r="A7" s="332" t="s">
        <v>1517</v>
      </c>
      <c r="B7" s="333">
        <v>50000</v>
      </c>
      <c r="C7" s="333">
        <v>45816</v>
      </c>
      <c r="D7" s="333" t="s">
        <v>1059</v>
      </c>
      <c r="E7" s="333">
        <v>1832.64</v>
      </c>
      <c r="F7" s="333">
        <v>0</v>
      </c>
      <c r="G7" s="333">
        <v>3986</v>
      </c>
      <c r="H7" s="333">
        <v>5818.64</v>
      </c>
      <c r="W7" s="294" t="s">
        <v>1492</v>
      </c>
      <c r="X7" s="317" t="s">
        <v>1494</v>
      </c>
      <c r="Y7" s="294"/>
    </row>
    <row r="8" spans="1:25" ht="15">
      <c r="A8" s="332" t="s">
        <v>1513</v>
      </c>
      <c r="B8" s="333">
        <v>50000</v>
      </c>
      <c r="C8" s="333">
        <v>35233</v>
      </c>
      <c r="D8" s="333" t="s">
        <v>1059</v>
      </c>
      <c r="E8" s="333">
        <v>1409.32</v>
      </c>
      <c r="F8" s="333">
        <v>0</v>
      </c>
      <c r="G8" s="333">
        <v>3210</v>
      </c>
      <c r="H8" s="333">
        <v>4619.32</v>
      </c>
      <c r="W8" s="294" t="s">
        <v>1493</v>
      </c>
      <c r="X8" s="317" t="s">
        <v>1495</v>
      </c>
      <c r="Y8" s="294"/>
    </row>
    <row r="9" spans="1:25" ht="15">
      <c r="A9" s="332" t="s">
        <v>1502</v>
      </c>
      <c r="B9" s="333">
        <v>50000</v>
      </c>
      <c r="C9" s="333">
        <v>37441</v>
      </c>
      <c r="D9" s="333" t="s">
        <v>1059</v>
      </c>
      <c r="E9" s="333">
        <v>1497.64</v>
      </c>
      <c r="F9" s="333">
        <v>0</v>
      </c>
      <c r="G9" s="333">
        <v>2574</v>
      </c>
      <c r="H9" s="333">
        <v>4071.64</v>
      </c>
      <c r="W9" s="294" t="s">
        <v>1497</v>
      </c>
      <c r="X9" s="317" t="s">
        <v>1496</v>
      </c>
      <c r="Y9" s="294"/>
    </row>
    <row r="10" spans="1:25" ht="15">
      <c r="A10" s="332" t="s">
        <v>1500</v>
      </c>
      <c r="B10" s="333">
        <v>50000</v>
      </c>
      <c r="C10" s="333">
        <v>52356</v>
      </c>
      <c r="D10" s="333" t="s">
        <v>1062</v>
      </c>
      <c r="E10" s="333">
        <v>4188.4800000000005</v>
      </c>
      <c r="F10" s="333">
        <v>800</v>
      </c>
      <c r="G10" s="333">
        <v>3538</v>
      </c>
      <c r="H10" s="333">
        <v>8526.48</v>
      </c>
      <c r="W10" s="294" t="s">
        <v>1505</v>
      </c>
      <c r="X10" s="317" t="s">
        <v>1506</v>
      </c>
      <c r="Y10" s="294" t="s">
        <v>1507</v>
      </c>
    </row>
    <row r="11" spans="1:25" ht="15">
      <c r="A11" s="332" t="s">
        <v>1499</v>
      </c>
      <c r="B11" s="333">
        <v>50000</v>
      </c>
      <c r="C11" s="333">
        <v>43366</v>
      </c>
      <c r="D11" s="333" t="s">
        <v>1059</v>
      </c>
      <c r="E11" s="333">
        <v>1734.64</v>
      </c>
      <c r="F11" s="333">
        <v>0</v>
      </c>
      <c r="G11" s="333">
        <v>2234</v>
      </c>
      <c r="H11" s="333">
        <v>3968.64</v>
      </c>
      <c r="W11" s="294" t="s">
        <v>1508</v>
      </c>
      <c r="X11" s="317" t="s">
        <v>1509</v>
      </c>
      <c r="Y11" s="294"/>
    </row>
    <row r="12" spans="1:25" ht="15">
      <c r="A12" s="332" t="s">
        <v>1501</v>
      </c>
      <c r="B12" s="333">
        <v>50000</v>
      </c>
      <c r="C12" s="333">
        <v>20644</v>
      </c>
      <c r="D12" s="333" t="s">
        <v>1059</v>
      </c>
      <c r="E12" s="333">
        <v>825.76</v>
      </c>
      <c r="F12" s="333">
        <v>0</v>
      </c>
      <c r="G12" s="333">
        <v>2061</v>
      </c>
      <c r="H12" s="333">
        <v>2886.76</v>
      </c>
      <c r="W12" s="294" t="s">
        <v>1520</v>
      </c>
      <c r="X12" s="317" t="s">
        <v>1521</v>
      </c>
      <c r="Y12" s="294"/>
    </row>
    <row r="13" spans="1:25" ht="15">
      <c r="A13" s="332" t="s">
        <v>1514</v>
      </c>
      <c r="B13" s="333">
        <v>50000</v>
      </c>
      <c r="C13" s="333">
        <v>47431</v>
      </c>
      <c r="D13" s="333" t="s">
        <v>1059</v>
      </c>
      <c r="E13" s="333">
        <v>1897.24</v>
      </c>
      <c r="F13" s="333">
        <v>0</v>
      </c>
      <c r="G13" s="333">
        <v>2321</v>
      </c>
      <c r="H13" s="333">
        <v>4218.24</v>
      </c>
      <c r="W13" s="294" t="s">
        <v>1522</v>
      </c>
      <c r="X13" s="317" t="s">
        <v>1523</v>
      </c>
      <c r="Y13" s="294"/>
    </row>
    <row r="14" spans="1:25" ht="15">
      <c r="A14" s="332" t="s">
        <v>1510</v>
      </c>
      <c r="B14" s="333">
        <v>50000</v>
      </c>
      <c r="C14" s="333">
        <v>69142</v>
      </c>
      <c r="D14" s="333" t="s">
        <v>1062</v>
      </c>
      <c r="E14" s="333">
        <v>5531.36</v>
      </c>
      <c r="F14" s="333">
        <v>800</v>
      </c>
      <c r="G14" s="333">
        <v>2948</v>
      </c>
      <c r="H14" s="333">
        <v>9279.36</v>
      </c>
    </row>
    <row r="15" spans="1:25" ht="15">
      <c r="A15" s="334" t="s">
        <v>1491</v>
      </c>
      <c r="B15" s="333">
        <v>50000</v>
      </c>
      <c r="C15" s="333">
        <v>30728</v>
      </c>
      <c r="D15" s="333" t="s">
        <v>1059</v>
      </c>
      <c r="E15" s="333">
        <v>1229.1200000000001</v>
      </c>
      <c r="F15" s="333">
        <v>0</v>
      </c>
      <c r="G15" s="333">
        <v>3031</v>
      </c>
      <c r="H15" s="333">
        <v>4260.12</v>
      </c>
    </row>
    <row r="16" spans="1:25" ht="15">
      <c r="A16" s="334" t="s">
        <v>1515</v>
      </c>
      <c r="B16" s="333">
        <v>50000</v>
      </c>
      <c r="C16" s="333">
        <v>53944</v>
      </c>
      <c r="D16" s="333" t="s">
        <v>1062</v>
      </c>
      <c r="E16" s="333">
        <v>4315.5200000000004</v>
      </c>
      <c r="F16" s="333">
        <v>800</v>
      </c>
      <c r="G16" s="333">
        <v>2359</v>
      </c>
      <c r="H16" s="333">
        <v>7474.52</v>
      </c>
    </row>
    <row r="17" spans="1:8" ht="15">
      <c r="A17" s="334" t="s">
        <v>1490</v>
      </c>
      <c r="B17" s="333">
        <v>50000</v>
      </c>
      <c r="C17" s="333">
        <v>76783</v>
      </c>
      <c r="D17" s="333" t="s">
        <v>1062</v>
      </c>
      <c r="E17" s="333">
        <v>6142.64</v>
      </c>
      <c r="F17" s="333">
        <v>800</v>
      </c>
      <c r="G17" s="333">
        <v>3084</v>
      </c>
      <c r="H17" s="333">
        <v>10026.64</v>
      </c>
    </row>
    <row r="18" spans="1:8">
      <c r="A18" s="335" t="s">
        <v>1525</v>
      </c>
      <c r="B18" s="336">
        <v>650000</v>
      </c>
      <c r="C18" s="336">
        <v>650000</v>
      </c>
      <c r="D18" s="337"/>
      <c r="E18" s="336">
        <v>650000</v>
      </c>
      <c r="F18" s="336">
        <v>650000</v>
      </c>
      <c r="G18" s="336">
        <v>650000</v>
      </c>
      <c r="H18" s="336">
        <v>650000</v>
      </c>
    </row>
    <row r="19" spans="1:8">
      <c r="B19" s="318"/>
      <c r="C19" s="318"/>
      <c r="D19" s="318"/>
      <c r="E19" s="318"/>
      <c r="F19" s="318"/>
      <c r="G19" s="318"/>
      <c r="H19" s="325"/>
    </row>
    <row r="20" spans="1:8">
      <c r="B20" s="318"/>
      <c r="C20" s="318"/>
      <c r="D20" s="318"/>
      <c r="E20" s="318"/>
      <c r="F20" s="318"/>
      <c r="G20" s="318"/>
      <c r="H20" s="325"/>
    </row>
    <row r="21" spans="1:8">
      <c r="B21" s="318"/>
      <c r="C21" s="318"/>
      <c r="D21" s="318"/>
      <c r="E21" s="318"/>
      <c r="F21" s="318"/>
      <c r="G21" s="318"/>
      <c r="H21" s="325"/>
    </row>
    <row r="22" spans="1:8">
      <c r="B22" s="318"/>
      <c r="C22" s="318"/>
      <c r="D22" s="318"/>
      <c r="E22" s="318"/>
      <c r="F22" s="318"/>
      <c r="G22" s="318"/>
      <c r="H22" s="325"/>
    </row>
  </sheetData>
  <pageMargins left="0.7" right="0.7" top="0.75" bottom="0.75" header="0.3" footer="0.3"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4BC2A-FE18-4B73-A271-BD4EE15595D6}">
  <sheetPr codeName="Sheet6"/>
  <dimension ref="A1:A15"/>
  <sheetViews>
    <sheetView showGridLines="0" workbookViewId="0">
      <selection activeCell="A2" sqref="A2"/>
    </sheetView>
  </sheetViews>
  <sheetFormatPr defaultRowHeight="14.4"/>
  <cols>
    <col min="1" max="1" width="11.88671875" bestFit="1" customWidth="1"/>
    <col min="2" max="2" width="10.88671875" bestFit="1" customWidth="1"/>
  </cols>
  <sheetData>
    <row r="1" spans="1:1">
      <c r="A1" s="206" t="s">
        <v>1488</v>
      </c>
    </row>
    <row r="2" spans="1:1" ht="15.6">
      <c r="A2" s="323" t="s">
        <v>1489</v>
      </c>
    </row>
    <row r="3" spans="1:1" ht="15.6">
      <c r="A3" s="323" t="s">
        <v>1498</v>
      </c>
    </row>
    <row r="4" spans="1:1" ht="15.6">
      <c r="A4" s="323" t="s">
        <v>1517</v>
      </c>
    </row>
    <row r="5" spans="1:1" ht="15.6">
      <c r="A5" s="323" t="s">
        <v>1513</v>
      </c>
    </row>
    <row r="6" spans="1:1" ht="15.6">
      <c r="A6" s="323" t="s">
        <v>1502</v>
      </c>
    </row>
    <row r="7" spans="1:1" ht="15.6">
      <c r="A7" s="323" t="s">
        <v>1500</v>
      </c>
    </row>
    <row r="8" spans="1:1" ht="15.6">
      <c r="A8" s="323" t="s">
        <v>1499</v>
      </c>
    </row>
    <row r="9" spans="1:1" ht="15.6">
      <c r="A9" s="323" t="s">
        <v>1501</v>
      </c>
    </row>
    <row r="10" spans="1:1" ht="15.6">
      <c r="A10" s="323" t="s">
        <v>1514</v>
      </c>
    </row>
    <row r="11" spans="1:1" ht="15.6">
      <c r="A11" s="323" t="s">
        <v>1510</v>
      </c>
    </row>
    <row r="12" spans="1:1" ht="15.6">
      <c r="A12" s="323" t="s">
        <v>1491</v>
      </c>
    </row>
    <row r="13" spans="1:1" ht="15.6">
      <c r="A13" s="323" t="s">
        <v>1515</v>
      </c>
    </row>
    <row r="14" spans="1:1" ht="15.6">
      <c r="A14" s="323" t="s">
        <v>1490</v>
      </c>
    </row>
    <row r="15" spans="1:1">
      <c r="A15" s="315"/>
    </row>
  </sheetData>
  <sortState xmlns:xlrd2="http://schemas.microsoft.com/office/spreadsheetml/2017/richdata2" ref="A2:A14">
    <sortCondition ref="A2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002AC-CD6F-4C5E-A5AE-E72D0ADE235C}">
  <sheetPr codeName="Sheet8"/>
  <dimension ref="A1:B4"/>
  <sheetViews>
    <sheetView showGridLines="0" workbookViewId="0">
      <selection activeCell="B5" sqref="B5"/>
    </sheetView>
  </sheetViews>
  <sheetFormatPr defaultRowHeight="14.4"/>
  <cols>
    <col min="1" max="1" width="29.44140625" bestFit="1" customWidth="1"/>
    <col min="2" max="2" width="13.33203125" bestFit="1" customWidth="1"/>
  </cols>
  <sheetData>
    <row r="1" spans="1:2">
      <c r="A1" s="318" t="s">
        <v>1473</v>
      </c>
    </row>
    <row r="2" spans="1:2">
      <c r="A2" s="318" t="s">
        <v>1503</v>
      </c>
    </row>
    <row r="4" spans="1:2">
      <c r="A4" t="s">
        <v>1504</v>
      </c>
      <c r="B4" s="321">
        <v>50000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9F026-DC87-4BCB-8471-F58C9DC16B73}">
  <sheetPr codeName="Sheet9"/>
  <dimension ref="A1:G100"/>
  <sheetViews>
    <sheetView showGridLines="0" workbookViewId="0">
      <selection activeCell="A2" sqref="A2"/>
    </sheetView>
  </sheetViews>
  <sheetFormatPr defaultRowHeight="15.6"/>
  <cols>
    <col min="1" max="1" width="11.6640625" style="323" bestFit="1" customWidth="1"/>
    <col min="2" max="2" width="15.33203125" style="327" bestFit="1" customWidth="1"/>
  </cols>
  <sheetData>
    <row r="1" spans="1:7">
      <c r="A1" s="323" t="s">
        <v>1518</v>
      </c>
      <c r="B1" s="327" t="s">
        <v>1519</v>
      </c>
      <c r="D1" s="324"/>
      <c r="F1" s="315"/>
      <c r="G1" s="322"/>
    </row>
    <row r="2" spans="1:7">
      <c r="A2" s="324" t="s">
        <v>1489</v>
      </c>
      <c r="B2" s="328">
        <v>5401</v>
      </c>
      <c r="D2" s="324"/>
      <c r="F2" s="315"/>
    </row>
    <row r="3" spans="1:7">
      <c r="A3" s="324" t="s">
        <v>1489</v>
      </c>
      <c r="B3" s="328">
        <v>5061</v>
      </c>
      <c r="D3" s="324"/>
      <c r="F3" s="315"/>
    </row>
    <row r="4" spans="1:7">
      <c r="A4" s="324" t="s">
        <v>1489</v>
      </c>
      <c r="B4" s="328">
        <v>9969</v>
      </c>
      <c r="D4" s="324"/>
      <c r="F4" s="315"/>
    </row>
    <row r="5" spans="1:7">
      <c r="A5" s="324" t="s">
        <v>1489</v>
      </c>
      <c r="B5" s="328">
        <v>5933</v>
      </c>
      <c r="D5" s="324"/>
      <c r="F5" s="315"/>
    </row>
    <row r="6" spans="1:7">
      <c r="A6" s="324" t="s">
        <v>1489</v>
      </c>
      <c r="B6" s="328">
        <v>6997</v>
      </c>
      <c r="D6" s="324"/>
      <c r="F6" s="315"/>
    </row>
    <row r="7" spans="1:7">
      <c r="A7" s="324" t="s">
        <v>1489</v>
      </c>
      <c r="B7" s="328">
        <v>8319</v>
      </c>
      <c r="D7" s="324"/>
      <c r="F7" s="315"/>
    </row>
    <row r="8" spans="1:7">
      <c r="A8" s="324" t="s">
        <v>1489</v>
      </c>
      <c r="B8" s="328">
        <v>4572</v>
      </c>
      <c r="D8" s="324"/>
      <c r="F8" s="315"/>
    </row>
    <row r="9" spans="1:7">
      <c r="A9" s="324" t="s">
        <v>1489</v>
      </c>
      <c r="B9" s="328">
        <v>5474</v>
      </c>
      <c r="D9" s="324"/>
      <c r="F9" s="315"/>
    </row>
    <row r="10" spans="1:7">
      <c r="A10" s="324" t="s">
        <v>1489</v>
      </c>
      <c r="B10" s="328">
        <v>7600</v>
      </c>
      <c r="D10" s="324"/>
      <c r="F10" s="315"/>
    </row>
    <row r="11" spans="1:7">
      <c r="A11" s="324" t="s">
        <v>1489</v>
      </c>
      <c r="B11" s="328">
        <v>6007</v>
      </c>
      <c r="D11" s="324"/>
      <c r="F11" s="315"/>
    </row>
    <row r="12" spans="1:7">
      <c r="A12" s="324" t="s">
        <v>1489</v>
      </c>
      <c r="B12" s="328">
        <v>7361</v>
      </c>
      <c r="D12" s="324"/>
      <c r="F12" s="315"/>
    </row>
    <row r="13" spans="1:7">
      <c r="A13" s="324" t="s">
        <v>1489</v>
      </c>
      <c r="B13" s="328">
        <v>9769</v>
      </c>
      <c r="D13" s="324"/>
      <c r="F13" s="315"/>
    </row>
    <row r="14" spans="1:7">
      <c r="A14" s="324" t="s">
        <v>1489</v>
      </c>
      <c r="B14" s="328">
        <v>5859</v>
      </c>
      <c r="D14" s="324"/>
    </row>
    <row r="15" spans="1:7">
      <c r="A15" s="324" t="s">
        <v>1489</v>
      </c>
      <c r="B15" s="328">
        <v>6535</v>
      </c>
      <c r="D15" s="324"/>
    </row>
    <row r="16" spans="1:7">
      <c r="A16" s="324" t="s">
        <v>1489</v>
      </c>
      <c r="B16" s="328">
        <v>4643</v>
      </c>
      <c r="D16" s="324"/>
    </row>
    <row r="17" spans="1:4">
      <c r="A17" s="324" t="s">
        <v>1489</v>
      </c>
      <c r="B17" s="328">
        <v>5997</v>
      </c>
      <c r="D17" s="324"/>
    </row>
    <row r="18" spans="1:4">
      <c r="A18" s="324" t="s">
        <v>1500</v>
      </c>
      <c r="B18" s="328">
        <v>5723</v>
      </c>
    </row>
    <row r="19" spans="1:4">
      <c r="A19" s="324" t="s">
        <v>1500</v>
      </c>
      <c r="B19" s="328">
        <v>8165</v>
      </c>
    </row>
    <row r="20" spans="1:4">
      <c r="A20" s="324" t="s">
        <v>1500</v>
      </c>
      <c r="B20" s="328">
        <v>4437</v>
      </c>
    </row>
    <row r="21" spans="1:4">
      <c r="A21" s="324" t="s">
        <v>1490</v>
      </c>
      <c r="B21" s="328">
        <v>6253</v>
      </c>
    </row>
    <row r="22" spans="1:4">
      <c r="A22" s="324" t="s">
        <v>1510</v>
      </c>
      <c r="B22" s="328">
        <v>7019</v>
      </c>
    </row>
    <row r="23" spans="1:4">
      <c r="A23" s="324" t="s">
        <v>1514</v>
      </c>
      <c r="B23" s="328">
        <v>9191</v>
      </c>
    </row>
    <row r="24" spans="1:4">
      <c r="A24" s="324" t="s">
        <v>1502</v>
      </c>
      <c r="B24" s="328">
        <v>4711</v>
      </c>
    </row>
    <row r="25" spans="1:4">
      <c r="A25" s="324" t="s">
        <v>1514</v>
      </c>
      <c r="B25" s="328">
        <v>8318</v>
      </c>
    </row>
    <row r="26" spans="1:4">
      <c r="A26" s="324" t="s">
        <v>1515</v>
      </c>
      <c r="B26" s="328">
        <v>6816</v>
      </c>
    </row>
    <row r="27" spans="1:4">
      <c r="A27" s="324" t="s">
        <v>1501</v>
      </c>
      <c r="B27" s="328">
        <v>7759</v>
      </c>
    </row>
    <row r="28" spans="1:4">
      <c r="A28" s="324" t="s">
        <v>1515</v>
      </c>
      <c r="B28" s="328">
        <v>9217</v>
      </c>
    </row>
    <row r="29" spans="1:4">
      <c r="A29" s="324" t="s">
        <v>1515</v>
      </c>
      <c r="B29" s="328">
        <v>4581</v>
      </c>
    </row>
    <row r="30" spans="1:4">
      <c r="A30" s="324" t="s">
        <v>1490</v>
      </c>
      <c r="B30" s="328">
        <v>4228</v>
      </c>
    </row>
    <row r="31" spans="1:4">
      <c r="A31" s="324" t="s">
        <v>1498</v>
      </c>
      <c r="B31" s="328">
        <v>7100</v>
      </c>
    </row>
    <row r="32" spans="1:4">
      <c r="A32" s="324" t="s">
        <v>1500</v>
      </c>
      <c r="B32" s="328">
        <v>6478</v>
      </c>
    </row>
    <row r="33" spans="1:2">
      <c r="A33" s="324" t="s">
        <v>1490</v>
      </c>
      <c r="B33" s="328">
        <v>7426</v>
      </c>
    </row>
    <row r="34" spans="1:2">
      <c r="A34" s="324" t="s">
        <v>1502</v>
      </c>
      <c r="B34" s="328">
        <v>5204</v>
      </c>
    </row>
    <row r="35" spans="1:2">
      <c r="A35" s="324" t="s">
        <v>1517</v>
      </c>
      <c r="B35" s="328">
        <v>9169</v>
      </c>
    </row>
    <row r="36" spans="1:2">
      <c r="A36" s="324" t="s">
        <v>1490</v>
      </c>
      <c r="B36" s="328">
        <v>9037</v>
      </c>
    </row>
    <row r="37" spans="1:2">
      <c r="A37" s="324" t="s">
        <v>1490</v>
      </c>
      <c r="B37" s="328">
        <v>7011</v>
      </c>
    </row>
    <row r="38" spans="1:2">
      <c r="A38" s="324" t="s">
        <v>1517</v>
      </c>
      <c r="B38" s="328">
        <v>7232</v>
      </c>
    </row>
    <row r="39" spans="1:2">
      <c r="A39" s="324" t="s">
        <v>1514</v>
      </c>
      <c r="B39" s="328">
        <v>8272</v>
      </c>
    </row>
    <row r="40" spans="1:2">
      <c r="A40" s="324" t="s">
        <v>1499</v>
      </c>
      <c r="B40" s="328">
        <v>6560</v>
      </c>
    </row>
    <row r="41" spans="1:2">
      <c r="A41" s="324" t="s">
        <v>1513</v>
      </c>
      <c r="B41" s="328">
        <v>7929</v>
      </c>
    </row>
    <row r="42" spans="1:2">
      <c r="A42" s="324" t="s">
        <v>1490</v>
      </c>
      <c r="B42" s="328">
        <v>7495</v>
      </c>
    </row>
    <row r="43" spans="1:2">
      <c r="A43" s="324" t="s">
        <v>1489</v>
      </c>
      <c r="B43" s="328">
        <v>8851</v>
      </c>
    </row>
    <row r="44" spans="1:2">
      <c r="A44" s="324" t="s">
        <v>1500</v>
      </c>
      <c r="B44" s="328">
        <v>4606</v>
      </c>
    </row>
    <row r="45" spans="1:2">
      <c r="A45" s="324" t="s">
        <v>1500</v>
      </c>
      <c r="B45" s="328">
        <v>5306</v>
      </c>
    </row>
    <row r="46" spans="1:2">
      <c r="A46" s="324" t="s">
        <v>1499</v>
      </c>
      <c r="B46" s="328">
        <v>8319</v>
      </c>
    </row>
    <row r="47" spans="1:2">
      <c r="A47" s="324" t="s">
        <v>1510</v>
      </c>
      <c r="B47" s="328">
        <v>5009</v>
      </c>
    </row>
    <row r="48" spans="1:2">
      <c r="A48" s="324" t="s">
        <v>1515</v>
      </c>
      <c r="B48" s="328">
        <v>9602</v>
      </c>
    </row>
    <row r="49" spans="1:2">
      <c r="A49" s="324" t="s">
        <v>1491</v>
      </c>
      <c r="B49" s="328">
        <v>4154</v>
      </c>
    </row>
    <row r="50" spans="1:2">
      <c r="A50" s="324" t="s">
        <v>1498</v>
      </c>
      <c r="B50" s="328">
        <v>9452</v>
      </c>
    </row>
    <row r="51" spans="1:2">
      <c r="A51" s="324" t="s">
        <v>1490</v>
      </c>
      <c r="B51" s="328">
        <v>8483</v>
      </c>
    </row>
    <row r="52" spans="1:2">
      <c r="A52" s="324" t="s">
        <v>1491</v>
      </c>
      <c r="B52" s="328">
        <v>5070</v>
      </c>
    </row>
    <row r="53" spans="1:2">
      <c r="A53" s="324" t="s">
        <v>1510</v>
      </c>
      <c r="B53" s="328">
        <v>5840</v>
      </c>
    </row>
    <row r="54" spans="1:2">
      <c r="A54" s="324" t="s">
        <v>1500</v>
      </c>
      <c r="B54" s="328">
        <v>7643</v>
      </c>
    </row>
    <row r="55" spans="1:2">
      <c r="A55" s="324" t="s">
        <v>1517</v>
      </c>
      <c r="B55" s="328">
        <v>6975</v>
      </c>
    </row>
    <row r="56" spans="1:2">
      <c r="A56" s="324" t="s">
        <v>1510</v>
      </c>
      <c r="B56" s="328">
        <v>9963</v>
      </c>
    </row>
    <row r="57" spans="1:2">
      <c r="A57" s="324" t="s">
        <v>1510</v>
      </c>
      <c r="B57" s="328">
        <v>6568</v>
      </c>
    </row>
    <row r="58" spans="1:2">
      <c r="A58" s="324" t="s">
        <v>1513</v>
      </c>
      <c r="B58" s="328">
        <v>4523</v>
      </c>
    </row>
    <row r="59" spans="1:2">
      <c r="A59" s="324" t="s">
        <v>1491</v>
      </c>
      <c r="B59" s="328">
        <v>9615</v>
      </c>
    </row>
    <row r="60" spans="1:2">
      <c r="A60" s="324" t="s">
        <v>1489</v>
      </c>
      <c r="B60" s="328">
        <v>4250</v>
      </c>
    </row>
    <row r="61" spans="1:2">
      <c r="A61" s="324" t="s">
        <v>1498</v>
      </c>
      <c r="B61" s="328">
        <v>9000</v>
      </c>
    </row>
    <row r="62" spans="1:2">
      <c r="A62" s="324" t="s">
        <v>1490</v>
      </c>
      <c r="B62" s="328">
        <v>6032</v>
      </c>
    </row>
    <row r="63" spans="1:2">
      <c r="A63" s="324" t="s">
        <v>1510</v>
      </c>
      <c r="B63" s="328">
        <v>9111</v>
      </c>
    </row>
    <row r="64" spans="1:2">
      <c r="A64" s="324" t="s">
        <v>1514</v>
      </c>
      <c r="B64" s="328">
        <v>7037</v>
      </c>
    </row>
    <row r="65" spans="1:2">
      <c r="A65" s="324" t="s">
        <v>1510</v>
      </c>
      <c r="B65" s="328">
        <v>9514</v>
      </c>
    </row>
    <row r="66" spans="1:2">
      <c r="A66" s="324" t="s">
        <v>1517</v>
      </c>
      <c r="B66" s="328">
        <v>7501</v>
      </c>
    </row>
    <row r="67" spans="1:2">
      <c r="A67" s="324" t="s">
        <v>1510</v>
      </c>
      <c r="B67" s="328">
        <v>4990</v>
      </c>
    </row>
    <row r="68" spans="1:2">
      <c r="A68" s="324" t="s">
        <v>1502</v>
      </c>
      <c r="B68" s="328">
        <v>8846</v>
      </c>
    </row>
    <row r="69" spans="1:2">
      <c r="A69" s="324" t="s">
        <v>1510</v>
      </c>
      <c r="B69" s="328">
        <v>4511</v>
      </c>
    </row>
    <row r="70" spans="1:2">
      <c r="A70" s="324" t="s">
        <v>1513</v>
      </c>
      <c r="B70" s="328">
        <v>8069</v>
      </c>
    </row>
    <row r="71" spans="1:2">
      <c r="A71" s="324" t="s">
        <v>1502</v>
      </c>
      <c r="B71" s="328">
        <v>4303</v>
      </c>
    </row>
    <row r="72" spans="1:2">
      <c r="A72" s="324" t="s">
        <v>1515</v>
      </c>
      <c r="B72" s="328">
        <v>7696</v>
      </c>
    </row>
    <row r="73" spans="1:2">
      <c r="A73" s="324" t="s">
        <v>1500</v>
      </c>
      <c r="B73" s="328">
        <v>4277</v>
      </c>
    </row>
    <row r="74" spans="1:2">
      <c r="A74" s="324" t="s">
        <v>1514</v>
      </c>
      <c r="B74" s="328">
        <v>8607</v>
      </c>
    </row>
    <row r="75" spans="1:2">
      <c r="A75" s="324" t="s">
        <v>1498</v>
      </c>
      <c r="B75" s="328">
        <v>9892</v>
      </c>
    </row>
    <row r="76" spans="1:2">
      <c r="A76" s="324" t="s">
        <v>1510</v>
      </c>
      <c r="B76" s="328">
        <v>6617</v>
      </c>
    </row>
    <row r="77" spans="1:2">
      <c r="A77" s="324" t="s">
        <v>1491</v>
      </c>
      <c r="B77" s="328">
        <v>6036</v>
      </c>
    </row>
    <row r="78" spans="1:2">
      <c r="A78" s="324" t="s">
        <v>1499</v>
      </c>
      <c r="B78" s="328">
        <v>6096</v>
      </c>
    </row>
    <row r="79" spans="1:2">
      <c r="A79" s="324" t="s">
        <v>1499</v>
      </c>
      <c r="B79" s="328">
        <v>8140</v>
      </c>
    </row>
    <row r="80" spans="1:2">
      <c r="A80" s="324" t="s">
        <v>1501</v>
      </c>
      <c r="B80" s="328">
        <v>6184</v>
      </c>
    </row>
    <row r="81" spans="1:2">
      <c r="A81" s="324" t="s">
        <v>1489</v>
      </c>
      <c r="B81" s="328">
        <v>8781</v>
      </c>
    </row>
    <row r="82" spans="1:2">
      <c r="A82" s="324" t="s">
        <v>1515</v>
      </c>
      <c r="B82" s="328">
        <v>6373</v>
      </c>
    </row>
    <row r="83" spans="1:2">
      <c r="A83" s="324" t="s">
        <v>1490</v>
      </c>
      <c r="B83" s="328">
        <v>7604</v>
      </c>
    </row>
    <row r="84" spans="1:2">
      <c r="A84" s="324" t="s">
        <v>1499</v>
      </c>
      <c r="B84" s="328">
        <v>6112</v>
      </c>
    </row>
    <row r="85" spans="1:2">
      <c r="A85" s="324" t="s">
        <v>1517</v>
      </c>
      <c r="B85" s="328">
        <v>4871</v>
      </c>
    </row>
    <row r="86" spans="1:2">
      <c r="A86" s="324" t="s">
        <v>1502</v>
      </c>
      <c r="B86" s="328">
        <v>5262</v>
      </c>
    </row>
    <row r="87" spans="1:2">
      <c r="A87" s="324" t="s">
        <v>1490</v>
      </c>
      <c r="B87" s="328">
        <v>7419</v>
      </c>
    </row>
    <row r="88" spans="1:2">
      <c r="A88" s="324" t="s">
        <v>1500</v>
      </c>
      <c r="B88" s="328">
        <v>5721</v>
      </c>
    </row>
    <row r="89" spans="1:2">
      <c r="A89" s="324" t="s">
        <v>1513</v>
      </c>
      <c r="B89" s="328">
        <v>5186</v>
      </c>
    </row>
    <row r="90" spans="1:2">
      <c r="A90" s="324" t="s">
        <v>1490</v>
      </c>
      <c r="B90" s="328">
        <v>5795</v>
      </c>
    </row>
    <row r="91" spans="1:2">
      <c r="A91" s="324" t="s">
        <v>1501</v>
      </c>
      <c r="B91" s="328">
        <v>6701</v>
      </c>
    </row>
    <row r="92" spans="1:2">
      <c r="A92" s="324" t="s">
        <v>1513</v>
      </c>
      <c r="B92" s="328">
        <v>9526</v>
      </c>
    </row>
    <row r="93" spans="1:2">
      <c r="A93" s="324" t="s">
        <v>1514</v>
      </c>
      <c r="B93" s="328">
        <v>6006</v>
      </c>
    </row>
    <row r="94" spans="1:2">
      <c r="A94" s="324" t="s">
        <v>1515</v>
      </c>
      <c r="B94" s="328">
        <v>9659</v>
      </c>
    </row>
    <row r="95" spans="1:2">
      <c r="A95" s="324" t="s">
        <v>1489</v>
      </c>
      <c r="B95" s="328">
        <v>5762</v>
      </c>
    </row>
    <row r="96" spans="1:2">
      <c r="A96" s="324" t="s">
        <v>1502</v>
      </c>
      <c r="B96" s="328">
        <v>9115</v>
      </c>
    </row>
    <row r="97" spans="1:2">
      <c r="A97" s="324" t="s">
        <v>1491</v>
      </c>
      <c r="B97" s="328">
        <v>5853</v>
      </c>
    </row>
    <row r="98" spans="1:2">
      <c r="A98" s="324" t="s">
        <v>1517</v>
      </c>
      <c r="B98" s="328">
        <v>5502</v>
      </c>
    </row>
    <row r="99" spans="1:2">
      <c r="A99" s="324" t="s">
        <v>1499</v>
      </c>
      <c r="B99" s="328">
        <v>8139</v>
      </c>
    </row>
    <row r="100" spans="1:2">
      <c r="A100" s="324" t="s">
        <v>1517</v>
      </c>
      <c r="B100" s="328">
        <v>4566</v>
      </c>
    </row>
  </sheetData>
  <sortState xmlns:xlrd2="http://schemas.microsoft.com/office/spreadsheetml/2017/richdata2" ref="D1:D99">
    <sortCondition ref="D1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7C07C-A717-409C-965C-9C02FDD5DACA}">
  <sheetPr codeName="Sheet10"/>
  <dimension ref="A1:B14"/>
  <sheetViews>
    <sheetView showGridLines="0" workbookViewId="0">
      <selection activeCell="B1" sqref="B1:B1048576"/>
    </sheetView>
  </sheetViews>
  <sheetFormatPr defaultRowHeight="14.4"/>
  <cols>
    <col min="1" max="1" width="17.5546875" customWidth="1"/>
    <col min="2" max="2" width="14.5546875" style="326" customWidth="1"/>
  </cols>
  <sheetData>
    <row r="1" spans="1:2">
      <c r="A1" s="206" t="s">
        <v>1488</v>
      </c>
      <c r="B1" s="326" t="s">
        <v>1524</v>
      </c>
    </row>
    <row r="2" spans="1:2" ht="15.6">
      <c r="A2" s="323" t="s">
        <v>1489</v>
      </c>
      <c r="B2" s="326">
        <v>2719</v>
      </c>
    </row>
    <row r="3" spans="1:2" ht="15.6">
      <c r="A3" s="323" t="s">
        <v>1498</v>
      </c>
      <c r="B3" s="326">
        <v>3543</v>
      </c>
    </row>
    <row r="4" spans="1:2" ht="15.6">
      <c r="A4" s="323" t="s">
        <v>1517</v>
      </c>
      <c r="B4" s="326">
        <v>3986</v>
      </c>
    </row>
    <row r="5" spans="1:2" ht="15.6">
      <c r="A5" s="323" t="s">
        <v>1513</v>
      </c>
      <c r="B5" s="326">
        <v>3210</v>
      </c>
    </row>
    <row r="6" spans="1:2" ht="15.6">
      <c r="A6" s="323" t="s">
        <v>1502</v>
      </c>
      <c r="B6" s="326">
        <v>2574</v>
      </c>
    </row>
    <row r="7" spans="1:2" ht="15.6">
      <c r="A7" s="323" t="s">
        <v>1500</v>
      </c>
      <c r="B7" s="326">
        <v>3538</v>
      </c>
    </row>
    <row r="8" spans="1:2" ht="15.6">
      <c r="A8" s="323" t="s">
        <v>1499</v>
      </c>
      <c r="B8" s="326">
        <v>2234</v>
      </c>
    </row>
    <row r="9" spans="1:2" ht="15.6">
      <c r="A9" s="323" t="s">
        <v>1501</v>
      </c>
      <c r="B9" s="326">
        <v>2061</v>
      </c>
    </row>
    <row r="10" spans="1:2" ht="15.6">
      <c r="A10" s="323" t="s">
        <v>1514</v>
      </c>
      <c r="B10" s="326">
        <v>2321</v>
      </c>
    </row>
    <row r="11" spans="1:2" ht="15.6">
      <c r="A11" s="323" t="s">
        <v>1510</v>
      </c>
      <c r="B11" s="326">
        <v>2948</v>
      </c>
    </row>
    <row r="12" spans="1:2" ht="15.6">
      <c r="A12" s="323" t="s">
        <v>1491</v>
      </c>
      <c r="B12" s="326">
        <v>3031</v>
      </c>
    </row>
    <row r="13" spans="1:2" ht="15.6">
      <c r="A13" s="323" t="s">
        <v>1515</v>
      </c>
      <c r="B13" s="326">
        <v>2359</v>
      </c>
    </row>
    <row r="14" spans="1:2" ht="15.6">
      <c r="A14" s="323" t="s">
        <v>1490</v>
      </c>
      <c r="B14" s="326">
        <v>3084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530A4-0C34-47CF-9B29-EF5B4FB81B86}">
  <sheetPr codeName="Sheet11">
    <tabColor theme="1"/>
  </sheetPr>
  <dimension ref="A3:C100"/>
  <sheetViews>
    <sheetView showGridLines="0" workbookViewId="0">
      <selection activeCell="F6" sqref="F6"/>
    </sheetView>
  </sheetViews>
  <sheetFormatPr defaultRowHeight="15.6"/>
  <cols>
    <col min="1" max="1" width="24" style="343" bestFit="1" customWidth="1"/>
    <col min="2" max="2" width="12.44140625" style="344" bestFit="1" customWidth="1"/>
    <col min="3" max="3" width="26.6640625" style="316" bestFit="1" customWidth="1"/>
  </cols>
  <sheetData>
    <row r="3" spans="1:3" ht="17.399999999999999">
      <c r="A3" s="338" t="s">
        <v>1526</v>
      </c>
      <c r="B3" s="339" t="s">
        <v>1527</v>
      </c>
      <c r="C3" s="339" t="s">
        <v>1530</v>
      </c>
    </row>
    <row r="4" spans="1:3">
      <c r="A4" s="340">
        <v>1001</v>
      </c>
      <c r="B4" s="341">
        <v>579</v>
      </c>
      <c r="C4" s="342" t="s">
        <v>1529</v>
      </c>
    </row>
    <row r="5" spans="1:3">
      <c r="A5" s="340">
        <v>1002</v>
      </c>
      <c r="B5" s="341">
        <v>75</v>
      </c>
      <c r="C5" s="342" t="s">
        <v>1529</v>
      </c>
    </row>
    <row r="6" spans="1:3">
      <c r="A6" s="340">
        <v>1003</v>
      </c>
      <c r="B6" s="341">
        <v>-908</v>
      </c>
      <c r="C6" s="342" t="s">
        <v>1528</v>
      </c>
    </row>
    <row r="7" spans="1:3">
      <c r="A7" s="340">
        <v>1004</v>
      </c>
      <c r="B7" s="341">
        <v>-851</v>
      </c>
      <c r="C7" s="342" t="s">
        <v>1528</v>
      </c>
    </row>
    <row r="8" spans="1:3">
      <c r="A8" s="340">
        <v>1005</v>
      </c>
      <c r="B8" s="341">
        <v>32</v>
      </c>
      <c r="C8" s="342" t="s">
        <v>1529</v>
      </c>
    </row>
    <row r="9" spans="1:3">
      <c r="A9" s="340">
        <v>1006</v>
      </c>
      <c r="B9" s="341">
        <v>-887</v>
      </c>
      <c r="C9" s="342" t="s">
        <v>1528</v>
      </c>
    </row>
    <row r="10" spans="1:3">
      <c r="A10" s="340">
        <v>1007</v>
      </c>
      <c r="B10" s="341">
        <v>-765</v>
      </c>
      <c r="C10" s="342" t="s">
        <v>1528</v>
      </c>
    </row>
    <row r="11" spans="1:3">
      <c r="A11" s="340">
        <v>1008</v>
      </c>
      <c r="B11" s="341">
        <v>-973</v>
      </c>
      <c r="C11" s="342" t="s">
        <v>1528</v>
      </c>
    </row>
    <row r="12" spans="1:3">
      <c r="A12" s="340">
        <v>1009</v>
      </c>
      <c r="B12" s="341">
        <v>663</v>
      </c>
      <c r="C12" s="342" t="s">
        <v>1529</v>
      </c>
    </row>
    <row r="13" spans="1:3">
      <c r="A13" s="340">
        <v>1010</v>
      </c>
      <c r="B13" s="341">
        <v>466</v>
      </c>
      <c r="C13" s="342" t="s">
        <v>1529</v>
      </c>
    </row>
    <row r="14" spans="1:3">
      <c r="A14" s="340">
        <v>1011</v>
      </c>
      <c r="B14" s="341">
        <v>-331</v>
      </c>
      <c r="C14" s="342" t="s">
        <v>1528</v>
      </c>
    </row>
    <row r="15" spans="1:3">
      <c r="A15" s="340">
        <v>1012</v>
      </c>
      <c r="B15" s="341">
        <v>174</v>
      </c>
      <c r="C15" s="342" t="s">
        <v>1529</v>
      </c>
    </row>
    <row r="16" spans="1:3">
      <c r="A16" s="340">
        <v>1013</v>
      </c>
      <c r="B16" s="341">
        <v>493</v>
      </c>
      <c r="C16" s="342" t="s">
        <v>1529</v>
      </c>
    </row>
    <row r="17" spans="1:3">
      <c r="A17" s="340">
        <v>1014</v>
      </c>
      <c r="B17" s="341">
        <v>-941</v>
      </c>
      <c r="C17" s="342" t="s">
        <v>1528</v>
      </c>
    </row>
    <row r="18" spans="1:3">
      <c r="A18" s="340">
        <v>1015</v>
      </c>
      <c r="B18" s="341">
        <v>-736</v>
      </c>
      <c r="C18" s="342" t="s">
        <v>1528</v>
      </c>
    </row>
    <row r="19" spans="1:3">
      <c r="A19" s="340">
        <v>1016</v>
      </c>
      <c r="B19" s="341">
        <v>-366</v>
      </c>
      <c r="C19" s="342" t="s">
        <v>1528</v>
      </c>
    </row>
    <row r="20" spans="1:3">
      <c r="A20" s="340">
        <v>1017</v>
      </c>
      <c r="B20" s="341">
        <v>-367</v>
      </c>
      <c r="C20" s="342" t="s">
        <v>1528</v>
      </c>
    </row>
    <row r="21" spans="1:3">
      <c r="A21" s="340">
        <v>1018</v>
      </c>
      <c r="B21" s="341">
        <v>-844</v>
      </c>
      <c r="C21" s="342" t="s">
        <v>1528</v>
      </c>
    </row>
    <row r="22" spans="1:3">
      <c r="A22" s="340">
        <v>1019</v>
      </c>
      <c r="B22" s="341">
        <v>853</v>
      </c>
      <c r="C22" s="342" t="s">
        <v>1529</v>
      </c>
    </row>
    <row r="23" spans="1:3">
      <c r="A23" s="340">
        <v>1020</v>
      </c>
      <c r="B23" s="341">
        <v>610</v>
      </c>
      <c r="C23" s="342" t="s">
        <v>1529</v>
      </c>
    </row>
    <row r="24" spans="1:3">
      <c r="A24" s="340">
        <v>1021</v>
      </c>
      <c r="B24" s="341">
        <v>521</v>
      </c>
      <c r="C24" s="342" t="s">
        <v>1529</v>
      </c>
    </row>
    <row r="25" spans="1:3">
      <c r="A25" s="340">
        <v>1022</v>
      </c>
      <c r="B25" s="341">
        <v>82</v>
      </c>
      <c r="C25" s="342" t="s">
        <v>1529</v>
      </c>
    </row>
    <row r="26" spans="1:3">
      <c r="A26" s="340">
        <v>1023</v>
      </c>
      <c r="B26" s="341">
        <v>831</v>
      </c>
      <c r="C26" s="342" t="s">
        <v>1529</v>
      </c>
    </row>
    <row r="27" spans="1:3">
      <c r="A27" s="340">
        <v>1024</v>
      </c>
      <c r="B27" s="341">
        <v>751</v>
      </c>
      <c r="C27" s="342" t="s">
        <v>1529</v>
      </c>
    </row>
    <row r="28" spans="1:3">
      <c r="A28" s="340">
        <v>1025</v>
      </c>
      <c r="B28" s="341">
        <v>718</v>
      </c>
      <c r="C28" s="342" t="s">
        <v>1529</v>
      </c>
    </row>
    <row r="29" spans="1:3">
      <c r="A29" s="340">
        <v>1026</v>
      </c>
      <c r="B29" s="341">
        <v>964</v>
      </c>
      <c r="C29" s="342" t="s">
        <v>1529</v>
      </c>
    </row>
    <row r="30" spans="1:3">
      <c r="A30" s="340">
        <v>1027</v>
      </c>
      <c r="B30" s="341">
        <v>-895</v>
      </c>
      <c r="C30" s="342" t="s">
        <v>1528</v>
      </c>
    </row>
    <row r="31" spans="1:3">
      <c r="A31" s="340">
        <v>1028</v>
      </c>
      <c r="B31" s="341">
        <v>660</v>
      </c>
      <c r="C31" s="342" t="s">
        <v>1529</v>
      </c>
    </row>
    <row r="32" spans="1:3">
      <c r="A32" s="340">
        <v>1029</v>
      </c>
      <c r="B32" s="341">
        <v>-111</v>
      </c>
      <c r="C32" s="342" t="s">
        <v>1528</v>
      </c>
    </row>
    <row r="33" spans="1:3">
      <c r="A33" s="340">
        <v>1030</v>
      </c>
      <c r="B33" s="341">
        <v>-535</v>
      </c>
      <c r="C33" s="342" t="s">
        <v>1528</v>
      </c>
    </row>
    <row r="34" spans="1:3">
      <c r="A34" s="340">
        <v>1031</v>
      </c>
      <c r="B34" s="341">
        <v>187</v>
      </c>
      <c r="C34" s="342" t="s">
        <v>1529</v>
      </c>
    </row>
    <row r="35" spans="1:3">
      <c r="A35" s="340">
        <v>1032</v>
      </c>
      <c r="B35" s="341">
        <v>346</v>
      </c>
      <c r="C35" s="342" t="s">
        <v>1529</v>
      </c>
    </row>
    <row r="36" spans="1:3">
      <c r="A36" s="340">
        <v>1033</v>
      </c>
      <c r="B36" s="341">
        <v>754</v>
      </c>
      <c r="C36" s="342" t="s">
        <v>1529</v>
      </c>
    </row>
    <row r="37" spans="1:3">
      <c r="A37" s="340">
        <v>1034</v>
      </c>
      <c r="B37" s="341">
        <v>-171</v>
      </c>
      <c r="C37" s="342" t="s">
        <v>1528</v>
      </c>
    </row>
    <row r="38" spans="1:3">
      <c r="A38" s="340">
        <v>1035</v>
      </c>
      <c r="B38" s="341">
        <v>413</v>
      </c>
      <c r="C38" s="342" t="s">
        <v>1529</v>
      </c>
    </row>
    <row r="39" spans="1:3">
      <c r="A39" s="340">
        <v>1036</v>
      </c>
      <c r="B39" s="341">
        <v>831</v>
      </c>
      <c r="C39" s="342" t="s">
        <v>1529</v>
      </c>
    </row>
    <row r="40" spans="1:3">
      <c r="A40" s="340">
        <v>1037</v>
      </c>
      <c r="B40" s="341">
        <v>-791</v>
      </c>
      <c r="C40" s="342" t="s">
        <v>1528</v>
      </c>
    </row>
    <row r="41" spans="1:3">
      <c r="A41" s="340">
        <v>1038</v>
      </c>
      <c r="B41" s="341">
        <v>-813</v>
      </c>
      <c r="C41" s="342" t="s">
        <v>1528</v>
      </c>
    </row>
    <row r="42" spans="1:3">
      <c r="A42" s="340">
        <v>1039</v>
      </c>
      <c r="B42" s="341">
        <v>238</v>
      </c>
      <c r="C42" s="342" t="s">
        <v>1529</v>
      </c>
    </row>
    <row r="43" spans="1:3">
      <c r="A43" s="340">
        <v>1040</v>
      </c>
      <c r="B43" s="341">
        <v>605</v>
      </c>
      <c r="C43" s="342" t="s">
        <v>1529</v>
      </c>
    </row>
    <row r="44" spans="1:3">
      <c r="A44" s="340">
        <v>1041</v>
      </c>
      <c r="B44" s="341">
        <v>649</v>
      </c>
      <c r="C44" s="342" t="s">
        <v>1529</v>
      </c>
    </row>
    <row r="45" spans="1:3">
      <c r="A45" s="340">
        <v>1042</v>
      </c>
      <c r="B45" s="341">
        <v>426</v>
      </c>
      <c r="C45" s="342" t="s">
        <v>1529</v>
      </c>
    </row>
    <row r="46" spans="1:3">
      <c r="A46" s="340">
        <v>1043</v>
      </c>
      <c r="B46" s="341">
        <v>531</v>
      </c>
      <c r="C46" s="342" t="s">
        <v>1529</v>
      </c>
    </row>
    <row r="47" spans="1:3">
      <c r="A47" s="340">
        <v>1044</v>
      </c>
      <c r="B47" s="341">
        <v>665</v>
      </c>
      <c r="C47" s="342" t="s">
        <v>1529</v>
      </c>
    </row>
    <row r="48" spans="1:3">
      <c r="A48" s="340">
        <v>1045</v>
      </c>
      <c r="B48" s="341">
        <v>798</v>
      </c>
      <c r="C48" s="342" t="s">
        <v>1529</v>
      </c>
    </row>
    <row r="49" spans="1:3">
      <c r="A49" s="340">
        <v>1046</v>
      </c>
      <c r="B49" s="341">
        <v>-605</v>
      </c>
      <c r="C49" s="342" t="s">
        <v>1528</v>
      </c>
    </row>
    <row r="50" spans="1:3">
      <c r="A50" s="340">
        <v>1047</v>
      </c>
      <c r="B50" s="341">
        <v>479</v>
      </c>
      <c r="C50" s="342" t="s">
        <v>1529</v>
      </c>
    </row>
    <row r="51" spans="1:3">
      <c r="A51" s="340">
        <v>1048</v>
      </c>
      <c r="B51" s="341">
        <v>889</v>
      </c>
      <c r="C51" s="342" t="s">
        <v>1529</v>
      </c>
    </row>
    <row r="52" spans="1:3">
      <c r="A52" s="340">
        <v>1049</v>
      </c>
      <c r="B52" s="341">
        <v>-605</v>
      </c>
      <c r="C52" s="342" t="s">
        <v>1528</v>
      </c>
    </row>
    <row r="53" spans="1:3">
      <c r="A53" s="340">
        <v>1050</v>
      </c>
      <c r="B53" s="341">
        <v>-586</v>
      </c>
      <c r="C53" s="342" t="s">
        <v>1528</v>
      </c>
    </row>
    <row r="54" spans="1:3">
      <c r="A54" s="340">
        <v>1051</v>
      </c>
      <c r="B54" s="341">
        <v>-831</v>
      </c>
      <c r="C54" s="342" t="s">
        <v>1528</v>
      </c>
    </row>
    <row r="55" spans="1:3">
      <c r="A55" s="340">
        <v>1052</v>
      </c>
      <c r="B55" s="341">
        <v>45</v>
      </c>
      <c r="C55" s="342" t="s">
        <v>1529</v>
      </c>
    </row>
    <row r="56" spans="1:3">
      <c r="A56" s="340">
        <v>1053</v>
      </c>
      <c r="B56" s="341">
        <v>-938</v>
      </c>
      <c r="C56" s="342" t="s">
        <v>1528</v>
      </c>
    </row>
    <row r="57" spans="1:3">
      <c r="A57" s="340">
        <v>1054</v>
      </c>
      <c r="B57" s="341">
        <v>-305</v>
      </c>
      <c r="C57" s="342" t="s">
        <v>1528</v>
      </c>
    </row>
    <row r="58" spans="1:3">
      <c r="A58" s="340">
        <v>1055</v>
      </c>
      <c r="B58" s="341">
        <v>451</v>
      </c>
      <c r="C58" s="342" t="s">
        <v>1529</v>
      </c>
    </row>
    <row r="59" spans="1:3">
      <c r="A59" s="340">
        <v>1056</v>
      </c>
      <c r="B59" s="341">
        <v>341</v>
      </c>
      <c r="C59" s="342" t="s">
        <v>1529</v>
      </c>
    </row>
    <row r="60" spans="1:3">
      <c r="A60" s="340">
        <v>1057</v>
      </c>
      <c r="B60" s="341">
        <v>-265</v>
      </c>
      <c r="C60" s="342" t="s">
        <v>1528</v>
      </c>
    </row>
    <row r="61" spans="1:3">
      <c r="A61" s="340">
        <v>1058</v>
      </c>
      <c r="B61" s="341">
        <v>262</v>
      </c>
      <c r="C61" s="342" t="s">
        <v>1529</v>
      </c>
    </row>
    <row r="62" spans="1:3">
      <c r="A62" s="340">
        <v>1059</v>
      </c>
      <c r="B62" s="341">
        <v>600</v>
      </c>
      <c r="C62" s="342" t="s">
        <v>1529</v>
      </c>
    </row>
    <row r="63" spans="1:3">
      <c r="A63" s="340">
        <v>1060</v>
      </c>
      <c r="B63" s="341">
        <v>846</v>
      </c>
      <c r="C63" s="342" t="s">
        <v>1529</v>
      </c>
    </row>
    <row r="64" spans="1:3">
      <c r="A64" s="340">
        <v>1061</v>
      </c>
      <c r="B64" s="341">
        <v>-678</v>
      </c>
      <c r="C64" s="342" t="s">
        <v>1528</v>
      </c>
    </row>
    <row r="65" spans="1:3">
      <c r="A65" s="340">
        <v>1062</v>
      </c>
      <c r="B65" s="341">
        <v>-418</v>
      </c>
      <c r="C65" s="342" t="s">
        <v>1528</v>
      </c>
    </row>
    <row r="66" spans="1:3">
      <c r="A66" s="340">
        <v>1063</v>
      </c>
      <c r="B66" s="341">
        <v>-611</v>
      </c>
      <c r="C66" s="342" t="s">
        <v>1528</v>
      </c>
    </row>
    <row r="67" spans="1:3">
      <c r="A67" s="340">
        <v>1064</v>
      </c>
      <c r="B67" s="341">
        <v>-641</v>
      </c>
      <c r="C67" s="342" t="s">
        <v>1528</v>
      </c>
    </row>
    <row r="68" spans="1:3">
      <c r="A68" s="340">
        <v>1065</v>
      </c>
      <c r="B68" s="341">
        <v>141</v>
      </c>
      <c r="C68" s="342" t="s">
        <v>1529</v>
      </c>
    </row>
    <row r="69" spans="1:3">
      <c r="A69" s="340">
        <v>1066</v>
      </c>
      <c r="B69" s="341">
        <v>221</v>
      </c>
      <c r="C69" s="342" t="s">
        <v>1529</v>
      </c>
    </row>
    <row r="70" spans="1:3">
      <c r="A70" s="340">
        <v>1067</v>
      </c>
      <c r="B70" s="341">
        <v>598</v>
      </c>
      <c r="C70" s="342" t="s">
        <v>1529</v>
      </c>
    </row>
    <row r="71" spans="1:3">
      <c r="A71" s="340">
        <v>1068</v>
      </c>
      <c r="B71" s="341">
        <v>-608</v>
      </c>
      <c r="C71" s="342" t="s">
        <v>1528</v>
      </c>
    </row>
    <row r="72" spans="1:3">
      <c r="A72" s="340">
        <v>1069</v>
      </c>
      <c r="B72" s="341">
        <v>-137</v>
      </c>
      <c r="C72" s="342" t="s">
        <v>1528</v>
      </c>
    </row>
    <row r="73" spans="1:3">
      <c r="A73" s="340">
        <v>1070</v>
      </c>
      <c r="B73" s="341">
        <v>-645</v>
      </c>
      <c r="C73" s="342" t="s">
        <v>1528</v>
      </c>
    </row>
    <row r="74" spans="1:3">
      <c r="A74" s="340">
        <v>1071</v>
      </c>
      <c r="B74" s="341">
        <v>566</v>
      </c>
      <c r="C74" s="342" t="s">
        <v>1529</v>
      </c>
    </row>
    <row r="75" spans="1:3">
      <c r="A75" s="340">
        <v>1072</v>
      </c>
      <c r="B75" s="341">
        <v>195</v>
      </c>
      <c r="C75" s="342" t="s">
        <v>1529</v>
      </c>
    </row>
    <row r="76" spans="1:3">
      <c r="A76" s="340">
        <v>1073</v>
      </c>
      <c r="B76" s="341">
        <v>-937</v>
      </c>
      <c r="C76" s="342" t="s">
        <v>1528</v>
      </c>
    </row>
    <row r="77" spans="1:3">
      <c r="A77" s="340">
        <v>1074</v>
      </c>
      <c r="B77" s="341">
        <v>-358</v>
      </c>
      <c r="C77" s="342" t="s">
        <v>1528</v>
      </c>
    </row>
    <row r="78" spans="1:3">
      <c r="A78" s="340">
        <v>1075</v>
      </c>
      <c r="B78" s="341">
        <v>334</v>
      </c>
      <c r="C78" s="342" t="s">
        <v>1529</v>
      </c>
    </row>
    <row r="79" spans="1:3">
      <c r="A79" s="340">
        <v>1076</v>
      </c>
      <c r="B79" s="341">
        <v>628</v>
      </c>
      <c r="C79" s="342" t="s">
        <v>1529</v>
      </c>
    </row>
    <row r="80" spans="1:3">
      <c r="A80" s="340">
        <v>1077</v>
      </c>
      <c r="B80" s="341">
        <v>50</v>
      </c>
      <c r="C80" s="342" t="s">
        <v>1529</v>
      </c>
    </row>
    <row r="81" spans="1:3">
      <c r="A81" s="340">
        <v>1078</v>
      </c>
      <c r="B81" s="341">
        <v>848</v>
      </c>
      <c r="C81" s="342" t="s">
        <v>1529</v>
      </c>
    </row>
    <row r="82" spans="1:3">
      <c r="A82" s="340">
        <v>1079</v>
      </c>
      <c r="B82" s="341">
        <v>-344</v>
      </c>
      <c r="C82" s="342" t="s">
        <v>1528</v>
      </c>
    </row>
    <row r="83" spans="1:3">
      <c r="A83" s="340">
        <v>1080</v>
      </c>
      <c r="B83" s="341">
        <v>-130</v>
      </c>
      <c r="C83" s="342" t="s">
        <v>1528</v>
      </c>
    </row>
    <row r="84" spans="1:3">
      <c r="A84" s="340">
        <v>1081</v>
      </c>
      <c r="B84" s="341">
        <v>-881</v>
      </c>
      <c r="C84" s="342" t="s">
        <v>1528</v>
      </c>
    </row>
    <row r="85" spans="1:3">
      <c r="A85" s="340">
        <v>1082</v>
      </c>
      <c r="B85" s="341">
        <v>431</v>
      </c>
      <c r="C85" s="342" t="s">
        <v>1529</v>
      </c>
    </row>
    <row r="86" spans="1:3">
      <c r="A86" s="340">
        <v>1083</v>
      </c>
      <c r="B86" s="341">
        <v>-211</v>
      </c>
      <c r="C86" s="342" t="s">
        <v>1528</v>
      </c>
    </row>
    <row r="87" spans="1:3">
      <c r="A87" s="340">
        <v>1084</v>
      </c>
      <c r="B87" s="341">
        <v>-905</v>
      </c>
      <c r="C87" s="342" t="s">
        <v>1528</v>
      </c>
    </row>
    <row r="88" spans="1:3">
      <c r="A88" s="340">
        <v>1085</v>
      </c>
      <c r="B88" s="341">
        <v>-435</v>
      </c>
      <c r="C88" s="342" t="s">
        <v>1528</v>
      </c>
    </row>
    <row r="89" spans="1:3">
      <c r="A89" s="340">
        <v>1086</v>
      </c>
      <c r="B89" s="341">
        <v>647</v>
      </c>
      <c r="C89" s="342" t="s">
        <v>1529</v>
      </c>
    </row>
    <row r="90" spans="1:3">
      <c r="A90" s="340">
        <v>1087</v>
      </c>
      <c r="B90" s="341">
        <v>-701</v>
      </c>
      <c r="C90" s="342" t="s">
        <v>1528</v>
      </c>
    </row>
    <row r="91" spans="1:3">
      <c r="A91" s="340">
        <v>1088</v>
      </c>
      <c r="B91" s="341">
        <v>856</v>
      </c>
      <c r="C91" s="342" t="s">
        <v>1529</v>
      </c>
    </row>
    <row r="92" spans="1:3">
      <c r="A92" s="340">
        <v>1089</v>
      </c>
      <c r="B92" s="341">
        <v>-688</v>
      </c>
      <c r="C92" s="342" t="s">
        <v>1528</v>
      </c>
    </row>
    <row r="93" spans="1:3">
      <c r="A93" s="340">
        <v>1090</v>
      </c>
      <c r="B93" s="341">
        <v>-229</v>
      </c>
      <c r="C93" s="342" t="s">
        <v>1528</v>
      </c>
    </row>
    <row r="94" spans="1:3">
      <c r="A94" s="340">
        <v>1091</v>
      </c>
      <c r="B94" s="341">
        <v>-29</v>
      </c>
      <c r="C94" s="342" t="s">
        <v>1528</v>
      </c>
    </row>
    <row r="95" spans="1:3">
      <c r="A95" s="340">
        <v>1092</v>
      </c>
      <c r="B95" s="341">
        <v>-22</v>
      </c>
      <c r="C95" s="342" t="s">
        <v>1528</v>
      </c>
    </row>
    <row r="96" spans="1:3">
      <c r="A96" s="340">
        <v>1093</v>
      </c>
      <c r="B96" s="341">
        <v>92</v>
      </c>
      <c r="C96" s="342" t="s">
        <v>1529</v>
      </c>
    </row>
    <row r="97" spans="1:3">
      <c r="A97" s="340">
        <v>1094</v>
      </c>
      <c r="B97" s="341">
        <v>-98</v>
      </c>
      <c r="C97" s="342" t="s">
        <v>1528</v>
      </c>
    </row>
    <row r="98" spans="1:3">
      <c r="A98" s="340">
        <v>1095</v>
      </c>
      <c r="B98" s="341">
        <v>-658</v>
      </c>
      <c r="C98" s="342" t="s">
        <v>1528</v>
      </c>
    </row>
    <row r="99" spans="1:3">
      <c r="A99" s="340">
        <v>1096</v>
      </c>
      <c r="B99" s="341">
        <v>465</v>
      </c>
      <c r="C99" s="342" t="s">
        <v>1529</v>
      </c>
    </row>
    <row r="100" spans="1:3">
      <c r="A100" s="340">
        <v>1097</v>
      </c>
      <c r="B100" s="341">
        <v>-888</v>
      </c>
      <c r="C100" s="342" t="s">
        <v>1528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TESTE1">
                <anchor moveWithCells="1" sizeWithCells="1">
                  <from>
                    <xdr:col>4</xdr:col>
                    <xdr:colOff>45720</xdr:colOff>
                    <xdr:row>1</xdr:row>
                    <xdr:rowOff>152400</xdr:rowOff>
                  </from>
                  <to>
                    <xdr:col>6</xdr:col>
                    <xdr:colOff>220980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32</vt:i4>
      </vt:variant>
    </vt:vector>
  </HeadingPairs>
  <TitlesOfParts>
    <vt:vector size="32" baseType="lpstr">
      <vt:lpstr>AULA 1</vt:lpstr>
      <vt:lpstr>TEXTO_1</vt:lpstr>
      <vt:lpstr>PROCURAR</vt:lpstr>
      <vt:lpstr>PROCURAR_LOCALIZAR</vt:lpstr>
      <vt:lpstr>HORAS_1</vt:lpstr>
      <vt:lpstr>HORAS_2</vt:lpstr>
      <vt:lpstr>DATADIF_2</vt:lpstr>
      <vt:lpstr>DATADIF_3</vt:lpstr>
      <vt:lpstr>DATADIF_1</vt:lpstr>
      <vt:lpstr>Função macro</vt:lpstr>
      <vt:lpstr>Procv</vt:lpstr>
      <vt:lpstr>SE_1</vt:lpstr>
      <vt:lpstr>SE_E</vt:lpstr>
      <vt:lpstr>SE_OU</vt:lpstr>
      <vt:lpstr>Indice_Corresp</vt:lpstr>
      <vt:lpstr>Grafico</vt:lpstr>
      <vt:lpstr>Grafico 2</vt:lpstr>
      <vt:lpstr>SOMASES_5</vt:lpstr>
      <vt:lpstr>SOMASES_1</vt:lpstr>
      <vt:lpstr>SOMASES_4</vt:lpstr>
      <vt:lpstr>SOMASES_3</vt:lpstr>
      <vt:lpstr>SOMASES_2</vt:lpstr>
      <vt:lpstr>SE_2</vt:lpstr>
      <vt:lpstr>HOSPITAL</vt:lpstr>
      <vt:lpstr>Formatação cond.</vt:lpstr>
      <vt:lpstr>vencimentos 13.03</vt:lpstr>
      <vt:lpstr>AULA  VBA 20.03</vt:lpstr>
      <vt:lpstr>VENDAS VBA MACRO</vt:lpstr>
      <vt:lpstr>PARÂMETROS VBA MACRO</vt:lpstr>
      <vt:lpstr>REGISTROS VBA MACRO</vt:lpstr>
      <vt:lpstr>DPT PESSOAL VBA MACRO</vt:lpstr>
      <vt:lpstr>TESTE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trainning</dc:creator>
  <cp:lastModifiedBy>Caio</cp:lastModifiedBy>
  <dcterms:created xsi:type="dcterms:W3CDTF">2021-03-06T11:20:24Z</dcterms:created>
  <dcterms:modified xsi:type="dcterms:W3CDTF">2022-06-27T17:04:43Z</dcterms:modified>
</cp:coreProperties>
</file>