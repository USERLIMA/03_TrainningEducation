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OUSA\Desktop\Estrutura\Treinamento\EXCEL\"/>
    </mc:Choice>
  </mc:AlternateContent>
  <xr:revisionPtr revIDLastSave="0" documentId="13_ncr:1_{770229B5-817D-43E6-B31F-B5CDC762FE4C}" xr6:coauthVersionLast="45" xr6:coauthVersionMax="45" xr10:uidLastSave="{00000000-0000-0000-0000-000000000000}"/>
  <bookViews>
    <workbookView xWindow="-120" yWindow="-120" windowWidth="29040" windowHeight="15840" xr2:uid="{3C1312AE-9654-430A-92CD-2C52F6577EEB}"/>
  </bookViews>
  <sheets>
    <sheet name="Folh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3" i="1" l="1"/>
  <c r="G26" i="1" s="1"/>
  <c r="G19" i="1"/>
  <c r="G22" i="1" s="1"/>
  <c r="G18" i="1"/>
  <c r="G12" i="1"/>
  <c r="G27" i="1" l="1"/>
  <c r="G31" i="1" s="1"/>
  <c r="G32" i="1" s="1"/>
</calcChain>
</file>

<file path=xl/sharedStrings.xml><?xml version="1.0" encoding="utf-8"?>
<sst xmlns="http://schemas.openxmlformats.org/spreadsheetml/2006/main" count="74" uniqueCount="52">
  <si>
    <t>1. Patrocinadora / Localidade</t>
  </si>
  <si>
    <t>2. Mês / Ano Referência</t>
  </si>
  <si>
    <t>DADOS DA FOLHA DE PAGAMENTO</t>
  </si>
  <si>
    <t>3. Valor Total Folha Salarial</t>
  </si>
  <si>
    <t>4. Qtde Empregados</t>
  </si>
  <si>
    <t>5. Data Pagto Folha</t>
  </si>
  <si>
    <t>6. Houve Reajuste na Folha?</t>
  </si>
  <si>
    <t>Normal</t>
  </si>
  <si>
    <t>Percentual</t>
  </si>
  <si>
    <t>13º Salário</t>
  </si>
  <si>
    <t>Motivo</t>
  </si>
  <si>
    <t>HISTÓRICO</t>
  </si>
  <si>
    <t>TIPO</t>
  </si>
  <si>
    <t>VALOR</t>
  </si>
  <si>
    <t>PATROCINADORA</t>
  </si>
  <si>
    <t>7. Contribuição Normal da Patrocinadora</t>
  </si>
  <si>
    <t>+</t>
  </si>
  <si>
    <t>8. Contribuição Especial de Patrocinadora</t>
  </si>
  <si>
    <t>9.</t>
  </si>
  <si>
    <t>10.</t>
  </si>
  <si>
    <t>11. TOTAL</t>
  </si>
  <si>
    <t>=</t>
  </si>
  <si>
    <t>PARTICIPANTE</t>
  </si>
  <si>
    <t>12. Contribuição Básica Participante</t>
  </si>
  <si>
    <t>13. Contribuição Adional Participante</t>
  </si>
  <si>
    <t>14. Contribuição Voluntária Participante</t>
  </si>
  <si>
    <t>15.</t>
  </si>
  <si>
    <t>16.</t>
  </si>
  <si>
    <t>17. TOTAL</t>
  </si>
  <si>
    <t>RISCO</t>
  </si>
  <si>
    <t>18. Benefício Mínimo e Provisão Matemática à Constituir (0,11% sobre o campo 3)</t>
  </si>
  <si>
    <t xml:space="preserve">19. </t>
  </si>
  <si>
    <t>20.</t>
  </si>
  <si>
    <t>21. TOTAL</t>
  </si>
  <si>
    <t>CUSTEIO</t>
  </si>
  <si>
    <t>22.  Despesa Administrativa (0,58% sobre o campo 3)</t>
  </si>
  <si>
    <t xml:space="preserve">23. </t>
  </si>
  <si>
    <t xml:space="preserve">24. </t>
  </si>
  <si>
    <t>25. TOTAL</t>
  </si>
  <si>
    <t>OUTROS</t>
  </si>
  <si>
    <t>26. O valor das contribuições informadas nos campos 11 e 21, serão deduzidas Fundo de Reversão até o seu exaurimento.</t>
  </si>
  <si>
    <t>+/-</t>
  </si>
  <si>
    <t xml:space="preserve">27. </t>
  </si>
  <si>
    <t xml:space="preserve">28. </t>
  </si>
  <si>
    <t xml:space="preserve">29. </t>
  </si>
  <si>
    <t>30. TOTAL</t>
  </si>
  <si>
    <t>31. TOTAL GERAL</t>
  </si>
  <si>
    <t>OBSERVAÇÕES</t>
  </si>
  <si>
    <r>
      <rPr>
        <b/>
        <sz val="10"/>
        <rFont val="Tahoma"/>
        <family val="2"/>
      </rPr>
      <t>32</t>
    </r>
    <r>
      <rPr>
        <sz val="10"/>
        <rFont val="Tahoma"/>
        <family val="2"/>
      </rPr>
      <t>.  
* Os valores constantes neste Informe deverão ser pagos através de boleto bancário enviado pelo IcatuFMP.
* Divergências encontradas nos valores calculados e pagos, serão acertadas no mês subsequente ao de referência.</t>
    </r>
  </si>
  <si>
    <r>
      <rPr>
        <b/>
        <sz val="10"/>
        <rFont val="Tahoma"/>
        <family val="2"/>
      </rPr>
      <t>33</t>
    </r>
    <r>
      <rPr>
        <sz val="10"/>
        <rFont val="Tahoma"/>
        <family val="2"/>
      </rPr>
      <t>.</t>
    </r>
  </si>
  <si>
    <r>
      <rPr>
        <b/>
        <sz val="10"/>
        <rFont val="Tahoma"/>
        <family val="2"/>
      </rPr>
      <t>34</t>
    </r>
    <r>
      <rPr>
        <sz val="10"/>
        <rFont val="Tahoma"/>
        <family val="2"/>
      </rPr>
      <t>.</t>
    </r>
  </si>
  <si>
    <t>EMPRESA INVENTADA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</si>
</sst>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/yyyy"/>
    <numFmt numFmtId="165" formatCode="&quot;R$ &quot;#,##0.00"/>
    <numFmt numFmtId="166" formatCode="&quot;R$ &quot;#,##0.00_);[Red]\(&quot;R$ &quot;#,##0.00\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0"/>
      <color theme="1"/>
      <name val="Calibri"/>
      <family val="2"/>
      <scheme val="minor"/>
    </font>
    <font>
      <b/>
      <sz val="10"/>
      <name val="Tahoma"/>
      <family val="2"/>
    </font>
    <font>
      <sz val="10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8">
    <xf numFmtId="0" fontId="0" fillId="0" borderId="0" xfId="0"/>
    <xf numFmtId="0" fontId="3" fillId="2" borderId="4" xfId="0" applyFont="1" applyFill="1" applyBorder="1" applyAlignment="1" applyProtection="1">
      <alignment horizontal="left" vertical="center" wrapText="1"/>
    </xf>
    <xf numFmtId="0" fontId="4" fillId="0" borderId="0" xfId="0" applyFont="1"/>
    <xf numFmtId="164" fontId="5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left" vertical="center" wrapText="1"/>
    </xf>
    <xf numFmtId="0" fontId="3" fillId="2" borderId="15" xfId="0" applyFont="1" applyFill="1" applyBorder="1" applyAlignment="1" applyProtection="1">
      <alignment vertical="center" wrapText="1"/>
    </xf>
    <xf numFmtId="0" fontId="3" fillId="2" borderId="16" xfId="0" applyFont="1" applyFill="1" applyBorder="1" applyAlignment="1" applyProtection="1">
      <alignment vertical="center"/>
    </xf>
    <xf numFmtId="0" fontId="3" fillId="2" borderId="17" xfId="0" applyFont="1" applyFill="1" applyBorder="1" applyAlignment="1" applyProtection="1">
      <alignment vertical="center" wrapText="1"/>
    </xf>
    <xf numFmtId="165" fontId="3" fillId="3" borderId="19" xfId="0" applyNumberFormat="1" applyFont="1" applyFill="1" applyBorder="1" applyAlignment="1" applyProtection="1">
      <alignment horizontal="left" vertical="center" wrapText="1"/>
      <protection locked="0"/>
    </xf>
    <xf numFmtId="0" fontId="3" fillId="0" borderId="21" xfId="0" applyFont="1" applyFill="1" applyBorder="1" applyAlignment="1" applyProtection="1">
      <alignment horizontal="left" vertical="center" wrapText="1"/>
    </xf>
    <xf numFmtId="10" fontId="3" fillId="3" borderId="22" xfId="1" applyNumberFormat="1" applyFont="1" applyFill="1" applyBorder="1" applyAlignment="1" applyProtection="1">
      <alignment horizontal="center" vertical="center" wrapText="1"/>
      <protection locked="0"/>
    </xf>
    <xf numFmtId="165" fontId="3" fillId="3" borderId="25" xfId="0" applyNumberFormat="1" applyFont="1" applyFill="1" applyBorder="1" applyAlignment="1" applyProtection="1">
      <alignment horizontal="left" vertical="center" wrapText="1"/>
      <protection locked="0"/>
    </xf>
    <xf numFmtId="0" fontId="3" fillId="0" borderId="27" xfId="0" applyFont="1" applyFill="1" applyBorder="1" applyAlignment="1" applyProtection="1">
      <alignment horizontal="left" vertical="center" wrapText="1"/>
    </xf>
    <xf numFmtId="0" fontId="3" fillId="3" borderId="28" xfId="0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Fill="1" applyBorder="1" applyAlignment="1" applyProtection="1">
      <alignment horizontal="center" vertical="center" wrapText="1"/>
    </xf>
    <xf numFmtId="0" fontId="5" fillId="0" borderId="4" xfId="0" applyFont="1" applyFill="1" applyBorder="1" applyAlignment="1" applyProtection="1">
      <alignment horizontal="center" vertical="center" wrapText="1"/>
    </xf>
    <xf numFmtId="0" fontId="3" fillId="2" borderId="30" xfId="0" applyFont="1" applyFill="1" applyBorder="1" applyAlignment="1" applyProtection="1">
      <alignment horizontal="center" vertical="center" wrapText="1"/>
    </xf>
    <xf numFmtId="166" fontId="6" fillId="3" borderId="11" xfId="0" applyNumberFormat="1" applyFont="1" applyFill="1" applyBorder="1" applyAlignment="1" applyProtection="1">
      <alignment horizontal="right" vertical="center" wrapText="1" indent="1"/>
      <protection locked="0"/>
    </xf>
    <xf numFmtId="166" fontId="3" fillId="3" borderId="11" xfId="0" applyNumberFormat="1" applyFont="1" applyFill="1" applyBorder="1" applyAlignment="1" applyProtection="1">
      <alignment horizontal="right" vertical="center" wrapText="1" indent="1"/>
      <protection locked="0"/>
    </xf>
    <xf numFmtId="0" fontId="5" fillId="4" borderId="34" xfId="0" applyFont="1" applyFill="1" applyBorder="1" applyAlignment="1" applyProtection="1">
      <alignment horizontal="center" vertical="center" wrapText="1"/>
    </xf>
    <xf numFmtId="166" fontId="5" fillId="4" borderId="36" xfId="0" applyNumberFormat="1" applyFont="1" applyFill="1" applyBorder="1" applyAlignment="1" applyProtection="1">
      <alignment horizontal="right" vertical="center" wrapText="1" indent="1"/>
    </xf>
    <xf numFmtId="0" fontId="3" fillId="2" borderId="37" xfId="0" applyFont="1" applyFill="1" applyBorder="1" applyAlignment="1" applyProtection="1">
      <alignment horizontal="center" vertical="center" wrapText="1"/>
    </xf>
    <xf numFmtId="166" fontId="3" fillId="3" borderId="8" xfId="0" applyNumberFormat="1" applyFont="1" applyFill="1" applyBorder="1" applyAlignment="1" applyProtection="1">
      <alignment horizontal="right" vertical="center" wrapText="1" indent="1"/>
      <protection locked="0"/>
    </xf>
    <xf numFmtId="0" fontId="5" fillId="4" borderId="27" xfId="0" applyFont="1" applyFill="1" applyBorder="1" applyAlignment="1" applyProtection="1">
      <alignment horizontal="center" vertical="center" wrapText="1"/>
    </xf>
    <xf numFmtId="166" fontId="3" fillId="0" borderId="11" xfId="0" applyNumberFormat="1" applyFont="1" applyFill="1" applyBorder="1" applyAlignment="1" applyProtection="1">
      <alignment horizontal="right" vertical="center" wrapText="1" indent="1"/>
    </xf>
    <xf numFmtId="0" fontId="3" fillId="2" borderId="38" xfId="0" applyFont="1" applyFill="1" applyBorder="1" applyAlignment="1" applyProtection="1">
      <alignment horizontal="center" vertical="center" wrapText="1"/>
    </xf>
    <xf numFmtId="166" fontId="3" fillId="5" borderId="8" xfId="0" applyNumberFormat="1" applyFont="1" applyFill="1" applyBorder="1" applyAlignment="1" applyProtection="1">
      <alignment horizontal="right" vertical="center" wrapText="1" indent="1"/>
    </xf>
    <xf numFmtId="49" fontId="3" fillId="0" borderId="30" xfId="0" applyNumberFormat="1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 vertical="center" wrapText="1"/>
    </xf>
    <xf numFmtId="166" fontId="5" fillId="4" borderId="4" xfId="0" applyNumberFormat="1" applyFont="1" applyFill="1" applyBorder="1" applyAlignment="1" applyProtection="1">
      <alignment horizontal="right" vertical="center" wrapText="1" indent="1"/>
    </xf>
    <xf numFmtId="0" fontId="5" fillId="4" borderId="43" xfId="0" applyFont="1" applyFill="1" applyBorder="1" applyAlignment="1" applyProtection="1">
      <alignment horizontal="left" vertical="center" wrapText="1"/>
    </xf>
    <xf numFmtId="0" fontId="5" fillId="4" borderId="44" xfId="0" applyFont="1" applyFill="1" applyBorder="1" applyAlignment="1" applyProtection="1">
      <alignment horizontal="left" vertical="center" wrapText="1"/>
    </xf>
    <xf numFmtId="0" fontId="5" fillId="4" borderId="43" xfId="0" applyFont="1" applyFill="1" applyBorder="1" applyAlignment="1" applyProtection="1">
      <alignment horizontal="center" vertical="center" textRotation="90" wrapText="1"/>
    </xf>
    <xf numFmtId="0" fontId="5" fillId="4" borderId="18" xfId="0" applyFont="1" applyFill="1" applyBorder="1" applyAlignment="1" applyProtection="1">
      <alignment horizontal="center" vertical="center" textRotation="90" wrapText="1"/>
    </xf>
    <xf numFmtId="0" fontId="5" fillId="4" borderId="23" xfId="0" applyFont="1" applyFill="1" applyBorder="1" applyAlignment="1" applyProtection="1">
      <alignment horizontal="center" vertical="center" textRotation="90" wrapText="1"/>
    </xf>
    <xf numFmtId="0" fontId="3" fillId="3" borderId="45" xfId="0" applyFont="1" applyFill="1" applyBorder="1" applyAlignment="1" applyProtection="1">
      <alignment horizontal="left" vertical="center" wrapText="1"/>
      <protection locked="0"/>
    </xf>
    <xf numFmtId="0" fontId="2" fillId="0" borderId="45" xfId="0" applyFont="1" applyBorder="1" applyAlignment="1" applyProtection="1">
      <alignment horizontal="left" vertical="center" wrapText="1"/>
      <protection locked="0"/>
    </xf>
    <xf numFmtId="0" fontId="2" fillId="0" borderId="46" xfId="0" applyFont="1" applyBorder="1" applyAlignment="1" applyProtection="1">
      <alignment horizontal="left" vertical="center" wrapText="1"/>
      <protection locked="0"/>
    </xf>
    <xf numFmtId="0" fontId="3" fillId="3" borderId="10" xfId="0" applyFont="1" applyFill="1" applyBorder="1" applyAlignment="1" applyProtection="1">
      <alignment horizontal="left" vertical="center" wrapText="1"/>
      <protection locked="0"/>
    </xf>
    <xf numFmtId="0" fontId="2" fillId="0" borderId="10" xfId="0" applyFont="1" applyBorder="1" applyAlignment="1" applyProtection="1">
      <alignment horizontal="left" vertical="center" wrapText="1"/>
      <protection locked="0"/>
    </xf>
    <xf numFmtId="0" fontId="2" fillId="0" borderId="11" xfId="0" applyFont="1" applyBorder="1" applyAlignment="1" applyProtection="1">
      <alignment horizontal="left" vertical="center" wrapText="1"/>
      <protection locked="0"/>
    </xf>
    <xf numFmtId="0" fontId="3" fillId="3" borderId="47" xfId="0" applyFont="1" applyFill="1" applyBorder="1" applyAlignment="1" applyProtection="1">
      <alignment horizontal="left" vertical="center" wrapText="1"/>
      <protection locked="0"/>
    </xf>
    <xf numFmtId="0" fontId="2" fillId="0" borderId="47" xfId="0" applyFont="1" applyBorder="1" applyAlignment="1" applyProtection="1">
      <alignment horizontal="left" vertical="center" wrapText="1"/>
      <protection locked="0"/>
    </xf>
    <xf numFmtId="0" fontId="2" fillId="0" borderId="36" xfId="0" applyFont="1" applyBorder="1" applyAlignment="1" applyProtection="1">
      <alignment horizontal="left" vertical="center" wrapText="1"/>
      <protection locked="0"/>
    </xf>
    <xf numFmtId="0" fontId="5" fillId="4" borderId="32" xfId="0" applyFont="1" applyFill="1" applyBorder="1" applyAlignment="1" applyProtection="1">
      <alignment horizontal="center" vertical="center" textRotation="90" wrapText="1"/>
    </xf>
    <xf numFmtId="0" fontId="5" fillId="4" borderId="33" xfId="0" applyFont="1" applyFill="1" applyBorder="1" applyAlignment="1" applyProtection="1">
      <alignment horizontal="center" vertical="center" textRotation="90" wrapText="1"/>
    </xf>
    <xf numFmtId="166" fontId="3" fillId="0" borderId="30" xfId="0" applyNumberFormat="1" applyFont="1" applyFill="1" applyBorder="1" applyAlignment="1" applyProtection="1">
      <alignment horizontal="left" vertical="center" wrapText="1"/>
    </xf>
    <xf numFmtId="166" fontId="3" fillId="0" borderId="31" xfId="0" applyNumberFormat="1" applyFont="1" applyFill="1" applyBorder="1" applyAlignment="1" applyProtection="1">
      <alignment horizontal="left" vertical="center" wrapText="1"/>
    </xf>
    <xf numFmtId="166" fontId="3" fillId="0" borderId="41" xfId="0" applyNumberFormat="1" applyFont="1" applyFill="1" applyBorder="1" applyAlignment="1" applyProtection="1">
      <alignment horizontal="left" vertical="center" wrapText="1"/>
    </xf>
    <xf numFmtId="0" fontId="5" fillId="4" borderId="27" xfId="0" applyFont="1" applyFill="1" applyBorder="1" applyAlignment="1" applyProtection="1">
      <alignment vertical="center" wrapText="1"/>
    </xf>
    <xf numFmtId="0" fontId="5" fillId="4" borderId="24" xfId="0" applyFont="1" applyFill="1" applyBorder="1" applyAlignment="1" applyProtection="1">
      <alignment vertical="center" wrapText="1"/>
    </xf>
    <xf numFmtId="0" fontId="5" fillId="4" borderId="1" xfId="0" applyFont="1" applyFill="1" applyBorder="1" applyAlignment="1" applyProtection="1">
      <alignment horizontal="center" vertical="center" textRotation="90" wrapText="1"/>
    </xf>
    <xf numFmtId="0" fontId="3" fillId="2" borderId="38" xfId="0" applyFont="1" applyFill="1" applyBorder="1" applyAlignment="1" applyProtection="1">
      <alignment vertical="center" wrapText="1"/>
    </xf>
    <xf numFmtId="0" fontId="3" fillId="2" borderId="39" xfId="0" applyFont="1" applyFill="1" applyBorder="1" applyAlignment="1" applyProtection="1">
      <alignment vertical="center" wrapText="1"/>
    </xf>
    <xf numFmtId="0" fontId="3" fillId="2" borderId="40" xfId="0" applyFont="1" applyFill="1" applyBorder="1" applyAlignment="1" applyProtection="1">
      <alignment vertical="center" wrapText="1"/>
    </xf>
    <xf numFmtId="0" fontId="3" fillId="2" borderId="30" xfId="0" applyFont="1" applyFill="1" applyBorder="1" applyAlignment="1" applyProtection="1">
      <alignment vertical="center" wrapText="1"/>
    </xf>
    <xf numFmtId="0" fontId="3" fillId="2" borderId="31" xfId="0" applyFont="1" applyFill="1" applyBorder="1" applyAlignment="1" applyProtection="1">
      <alignment vertical="center" wrapText="1"/>
    </xf>
    <xf numFmtId="0" fontId="3" fillId="2" borderId="41" xfId="0" applyFont="1" applyFill="1" applyBorder="1" applyAlignment="1" applyProtection="1">
      <alignment vertical="center" wrapText="1"/>
    </xf>
    <xf numFmtId="0" fontId="5" fillId="4" borderId="34" xfId="0" applyFont="1" applyFill="1" applyBorder="1" applyAlignment="1" applyProtection="1">
      <alignment vertical="center" wrapText="1"/>
    </xf>
    <xf numFmtId="0" fontId="5" fillId="4" borderId="35" xfId="0" applyFont="1" applyFill="1" applyBorder="1" applyAlignment="1" applyProtection="1">
      <alignment vertical="center" wrapText="1"/>
    </xf>
    <xf numFmtId="0" fontId="5" fillId="4" borderId="42" xfId="0" applyFont="1" applyFill="1" applyBorder="1" applyAlignment="1" applyProtection="1">
      <alignment vertical="center" wrapText="1"/>
    </xf>
    <xf numFmtId="0" fontId="3" fillId="2" borderId="37" xfId="0" applyFont="1" applyFill="1" applyBorder="1" applyAlignment="1" applyProtection="1">
      <alignment vertical="center" wrapText="1"/>
    </xf>
    <xf numFmtId="0" fontId="3" fillId="2" borderId="6" xfId="0" applyFont="1" applyFill="1" applyBorder="1" applyAlignment="1" applyProtection="1">
      <alignment vertical="center" wrapText="1"/>
    </xf>
    <xf numFmtId="0" fontId="3" fillId="2" borderId="30" xfId="0" applyFont="1" applyFill="1" applyBorder="1" applyAlignment="1" applyProtection="1">
      <alignment horizontal="left" vertical="center" wrapText="1"/>
    </xf>
    <xf numFmtId="0" fontId="3" fillId="2" borderId="31" xfId="0" applyFont="1" applyFill="1" applyBorder="1" applyAlignment="1" applyProtection="1">
      <alignment horizontal="left" vertical="center" wrapText="1"/>
    </xf>
    <xf numFmtId="0" fontId="5" fillId="0" borderId="18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4" borderId="29" xfId="0" applyFont="1" applyFill="1" applyBorder="1" applyAlignment="1" applyProtection="1">
      <alignment horizontal="center" vertical="center" textRotation="90" wrapText="1"/>
    </xf>
    <xf numFmtId="0" fontId="3" fillId="2" borderId="1" xfId="0" applyFont="1" applyFill="1" applyBorder="1" applyAlignment="1" applyProtection="1">
      <alignment vertical="center" wrapText="1"/>
    </xf>
    <xf numFmtId="0" fontId="3" fillId="2" borderId="2" xfId="0" applyFont="1" applyFill="1" applyBorder="1" applyAlignment="1" applyProtection="1">
      <alignment vertical="center" wrapText="1"/>
    </xf>
    <xf numFmtId="0" fontId="3" fillId="2" borderId="3" xfId="0" applyFont="1" applyFill="1" applyBorder="1" applyAlignment="1" applyProtection="1">
      <alignment vertical="center" wrapText="1"/>
    </xf>
    <xf numFmtId="0" fontId="5" fillId="2" borderId="5" xfId="0" applyFont="1" applyFill="1" applyBorder="1" applyAlignment="1" applyProtection="1">
      <alignment horizontal="left" vertical="center" wrapText="1"/>
    </xf>
    <xf numFmtId="0" fontId="5" fillId="2" borderId="6" xfId="0" applyFont="1" applyFill="1" applyBorder="1" applyAlignment="1" applyProtection="1">
      <alignment horizontal="left" vertical="center" wrapText="1"/>
    </xf>
    <xf numFmtId="0" fontId="5" fillId="2" borderId="7" xfId="0" applyFont="1" applyFill="1" applyBorder="1" applyAlignment="1" applyProtection="1">
      <alignment horizontal="left" vertical="center" wrapText="1"/>
    </xf>
    <xf numFmtId="0" fontId="5" fillId="0" borderId="9" xfId="0" applyFont="1" applyFill="1" applyBorder="1" applyAlignment="1" applyProtection="1">
      <alignment horizontal="center" vertical="center" wrapText="1"/>
    </xf>
    <xf numFmtId="0" fontId="5" fillId="0" borderId="10" xfId="0" applyFont="1" applyFill="1" applyBorder="1" applyAlignment="1" applyProtection="1">
      <alignment horizontal="center" vertical="center" wrapText="1"/>
    </xf>
    <xf numFmtId="0" fontId="5" fillId="0" borderId="11" xfId="0" applyFont="1" applyFill="1" applyBorder="1" applyAlignment="1" applyProtection="1">
      <alignment horizontal="center" vertical="center" wrapText="1"/>
    </xf>
    <xf numFmtId="0" fontId="3" fillId="2" borderId="12" xfId="0" applyFont="1" applyFill="1" applyBorder="1" applyAlignment="1" applyProtection="1">
      <alignment horizontal="left" vertical="center" wrapText="1"/>
    </xf>
    <xf numFmtId="0" fontId="3" fillId="2" borderId="13" xfId="0" applyFont="1" applyFill="1" applyBorder="1" applyAlignment="1" applyProtection="1">
      <alignment horizontal="left" vertical="center" wrapText="1"/>
    </xf>
    <xf numFmtId="0" fontId="3" fillId="2" borderId="14" xfId="0" applyFont="1" applyFill="1" applyBorder="1" applyAlignment="1" applyProtection="1">
      <alignment horizontal="left" vertical="center" wrapText="1"/>
    </xf>
    <xf numFmtId="0" fontId="3" fillId="2" borderId="18" xfId="0" applyFont="1" applyFill="1" applyBorder="1" applyAlignment="1" applyProtection="1">
      <alignment horizontal="left" vertical="center" wrapText="1"/>
    </xf>
    <xf numFmtId="0" fontId="3" fillId="2" borderId="0" xfId="0" applyFont="1" applyFill="1" applyBorder="1" applyAlignment="1" applyProtection="1">
      <alignment horizontal="left" vertical="center" wrapText="1"/>
    </xf>
    <xf numFmtId="1" fontId="3" fillId="3" borderId="20" xfId="0" applyNumberFormat="1" applyFont="1" applyFill="1" applyBorder="1" applyAlignment="1" applyProtection="1">
      <alignment horizontal="center" vertical="center" wrapText="1"/>
      <protection locked="0"/>
    </xf>
    <xf numFmtId="1" fontId="3" fillId="3" borderId="26" xfId="0" applyNumberFormat="1" applyFont="1" applyFill="1" applyBorder="1" applyAlignment="1" applyProtection="1">
      <alignment horizontal="center" vertical="center" wrapText="1"/>
      <protection locked="0"/>
    </xf>
    <xf numFmtId="14" fontId="3" fillId="3" borderId="20" xfId="0" applyNumberFormat="1" applyFont="1" applyFill="1" applyBorder="1" applyAlignment="1" applyProtection="1">
      <alignment horizontal="center" vertical="center" wrapText="1"/>
      <protection locked="0"/>
    </xf>
    <xf numFmtId="14" fontId="3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23" xfId="0" applyFont="1" applyFill="1" applyBorder="1" applyAlignment="1" applyProtection="1">
      <alignment horizontal="left" vertical="center" wrapText="1"/>
    </xf>
    <xf numFmtId="0" fontId="3" fillId="2" borderId="24" xfId="0" applyFont="1" applyFill="1" applyBorder="1" applyAlignment="1" applyProtection="1">
      <alignment horizontal="left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77A16-17F2-4AC9-A700-6D63A752F1F7}">
  <sheetPr codeName="Sheet1"/>
  <dimension ref="A1:G35"/>
  <sheetViews>
    <sheetView tabSelected="1" topLeftCell="A10" workbookViewId="0">
      <selection activeCell="L31" sqref="L31"/>
    </sheetView>
  </sheetViews>
  <sheetFormatPr defaultRowHeight="15" customHeight="1" x14ac:dyDescent="0.2"/>
  <cols>
    <col min="1" max="1" width="8.85546875" style="2" customWidth="1"/>
    <col min="2" max="2" width="9.140625" style="2"/>
    <col min="3" max="3" width="16.5703125" style="2" bestFit="1" customWidth="1"/>
    <col min="4" max="4" width="11.140625" style="2" customWidth="1"/>
    <col min="5" max="5" width="13.42578125" style="2" bestFit="1" customWidth="1"/>
    <col min="6" max="6" width="30.85546875" style="2" bestFit="1" customWidth="1"/>
    <col min="7" max="7" width="26.28515625" style="2" customWidth="1"/>
    <col min="8" max="16384" width="9.140625" style="2"/>
  </cols>
  <sheetData>
    <row r="1" spans="1:7" ht="27.75" customHeight="1" x14ac:dyDescent="0.2">
      <c r="A1" s="68" t="s">
        <v>0</v>
      </c>
      <c r="B1" s="69"/>
      <c r="C1" s="69"/>
      <c r="D1" s="69"/>
      <c r="E1" s="69"/>
      <c r="F1" s="70"/>
      <c r="G1" s="1" t="s">
        <v>1</v>
      </c>
    </row>
    <row r="2" spans="1:7" ht="15" customHeight="1" x14ac:dyDescent="0.2">
      <c r="A2" s="71" t="s">
        <v>51</v>
      </c>
      <c r="B2" s="72"/>
      <c r="C2" s="72"/>
      <c r="D2" s="72"/>
      <c r="E2" s="72"/>
      <c r="F2" s="73"/>
      <c r="G2" s="3">
        <v>43862</v>
      </c>
    </row>
    <row r="3" spans="1:7" ht="15" customHeight="1" x14ac:dyDescent="0.2">
      <c r="A3" s="74" t="s">
        <v>2</v>
      </c>
      <c r="B3" s="75"/>
      <c r="C3" s="75"/>
      <c r="D3" s="75"/>
      <c r="E3" s="75"/>
      <c r="F3" s="75"/>
      <c r="G3" s="76"/>
    </row>
    <row r="4" spans="1:7" ht="40.5" customHeight="1" x14ac:dyDescent="0.2">
      <c r="A4" s="77" t="s">
        <v>3</v>
      </c>
      <c r="B4" s="78"/>
      <c r="C4" s="79"/>
      <c r="D4" s="4" t="s">
        <v>4</v>
      </c>
      <c r="E4" s="5" t="s">
        <v>5</v>
      </c>
      <c r="F4" s="6" t="s">
        <v>6</v>
      </c>
      <c r="G4" s="7"/>
    </row>
    <row r="5" spans="1:7" ht="15" customHeight="1" x14ac:dyDescent="0.2">
      <c r="A5" s="80" t="s">
        <v>7</v>
      </c>
      <c r="B5" s="81"/>
      <c r="C5" s="8">
        <v>365459.16</v>
      </c>
      <c r="D5" s="82">
        <v>38</v>
      </c>
      <c r="E5" s="84">
        <v>43890</v>
      </c>
      <c r="F5" s="9" t="s">
        <v>8</v>
      </c>
      <c r="G5" s="10"/>
    </row>
    <row r="6" spans="1:7" ht="15" customHeight="1" thickBot="1" x14ac:dyDescent="0.25">
      <c r="A6" s="86" t="s">
        <v>9</v>
      </c>
      <c r="B6" s="87"/>
      <c r="C6" s="11"/>
      <c r="D6" s="83"/>
      <c r="E6" s="85"/>
      <c r="F6" s="12" t="s">
        <v>10</v>
      </c>
      <c r="G6" s="13"/>
    </row>
    <row r="7" spans="1:7" ht="15" customHeight="1" x14ac:dyDescent="0.2">
      <c r="A7" s="65" t="s">
        <v>11</v>
      </c>
      <c r="B7" s="66"/>
      <c r="C7" s="66"/>
      <c r="D7" s="66"/>
      <c r="E7" s="66"/>
      <c r="F7" s="14" t="s">
        <v>12</v>
      </c>
      <c r="G7" s="15" t="s">
        <v>13</v>
      </c>
    </row>
    <row r="8" spans="1:7" ht="36.75" customHeight="1" x14ac:dyDescent="0.2">
      <c r="A8" s="67" t="s">
        <v>14</v>
      </c>
      <c r="B8" s="55" t="s">
        <v>15</v>
      </c>
      <c r="C8" s="56"/>
      <c r="D8" s="56"/>
      <c r="E8" s="56"/>
      <c r="F8" s="16" t="s">
        <v>16</v>
      </c>
      <c r="G8" s="17">
        <v>9113.52</v>
      </c>
    </row>
    <row r="9" spans="1:7" ht="30" customHeight="1" x14ac:dyDescent="0.2">
      <c r="A9" s="44"/>
      <c r="B9" s="55" t="s">
        <v>17</v>
      </c>
      <c r="C9" s="56"/>
      <c r="D9" s="56"/>
      <c r="E9" s="56"/>
      <c r="F9" s="16" t="s">
        <v>16</v>
      </c>
      <c r="G9" s="17">
        <v>0</v>
      </c>
    </row>
    <row r="10" spans="1:7" ht="20.100000000000001" customHeight="1" x14ac:dyDescent="0.2">
      <c r="A10" s="44"/>
      <c r="B10" s="55" t="s">
        <v>18</v>
      </c>
      <c r="C10" s="56"/>
      <c r="D10" s="56"/>
      <c r="E10" s="56"/>
      <c r="F10" s="16" t="s">
        <v>16</v>
      </c>
      <c r="G10" s="18">
        <v>0</v>
      </c>
    </row>
    <row r="11" spans="1:7" ht="20.100000000000001" customHeight="1" x14ac:dyDescent="0.2">
      <c r="A11" s="44"/>
      <c r="B11" s="55" t="s">
        <v>19</v>
      </c>
      <c r="C11" s="56"/>
      <c r="D11" s="56"/>
      <c r="E11" s="56"/>
      <c r="F11" s="16" t="s">
        <v>16</v>
      </c>
      <c r="G11" s="18">
        <v>0</v>
      </c>
    </row>
    <row r="12" spans="1:7" ht="20.100000000000001" customHeight="1" thickBot="1" x14ac:dyDescent="0.25">
      <c r="A12" s="45"/>
      <c r="B12" s="58" t="s">
        <v>20</v>
      </c>
      <c r="C12" s="59"/>
      <c r="D12" s="59"/>
      <c r="E12" s="59"/>
      <c r="F12" s="19" t="s">
        <v>21</v>
      </c>
      <c r="G12" s="20">
        <f>ROUND((G8+G9+G10+G11),2)</f>
        <v>9113.52</v>
      </c>
    </row>
    <row r="13" spans="1:7" ht="15" customHeight="1" x14ac:dyDescent="0.2">
      <c r="A13" s="44" t="s">
        <v>22</v>
      </c>
      <c r="B13" s="61" t="s">
        <v>23</v>
      </c>
      <c r="C13" s="62"/>
      <c r="D13" s="62"/>
      <c r="E13" s="62"/>
      <c r="F13" s="21" t="s">
        <v>16</v>
      </c>
      <c r="G13" s="22">
        <v>4702.6000000000004</v>
      </c>
    </row>
    <row r="14" spans="1:7" ht="15" customHeight="1" x14ac:dyDescent="0.2">
      <c r="A14" s="44"/>
      <c r="B14" s="55" t="s">
        <v>24</v>
      </c>
      <c r="C14" s="56"/>
      <c r="D14" s="56"/>
      <c r="E14" s="56"/>
      <c r="F14" s="16" t="s">
        <v>16</v>
      </c>
      <c r="G14" s="22">
        <v>3161.13</v>
      </c>
    </row>
    <row r="15" spans="1:7" ht="20.25" customHeight="1" x14ac:dyDescent="0.2">
      <c r="A15" s="44"/>
      <c r="B15" s="55" t="s">
        <v>25</v>
      </c>
      <c r="C15" s="56"/>
      <c r="D15" s="56"/>
      <c r="E15" s="56"/>
      <c r="F15" s="16" t="s">
        <v>16</v>
      </c>
      <c r="G15" s="22">
        <v>500</v>
      </c>
    </row>
    <row r="16" spans="1:7" ht="15" customHeight="1" x14ac:dyDescent="0.2">
      <c r="A16" s="44"/>
      <c r="B16" s="55" t="s">
        <v>26</v>
      </c>
      <c r="C16" s="56"/>
      <c r="D16" s="56"/>
      <c r="E16" s="56"/>
      <c r="F16" s="16" t="s">
        <v>16</v>
      </c>
      <c r="G16" s="22">
        <v>0</v>
      </c>
    </row>
    <row r="17" spans="1:7" ht="15" customHeight="1" x14ac:dyDescent="0.2">
      <c r="A17" s="44"/>
      <c r="B17" s="63" t="s">
        <v>27</v>
      </c>
      <c r="C17" s="64"/>
      <c r="D17" s="64"/>
      <c r="E17" s="64"/>
      <c r="F17" s="16" t="s">
        <v>16</v>
      </c>
      <c r="G17" s="18">
        <v>0</v>
      </c>
    </row>
    <row r="18" spans="1:7" ht="15" customHeight="1" thickBot="1" x14ac:dyDescent="0.25">
      <c r="A18" s="45"/>
      <c r="B18" s="49" t="s">
        <v>28</v>
      </c>
      <c r="C18" s="50"/>
      <c r="D18" s="50"/>
      <c r="E18" s="50"/>
      <c r="F18" s="23" t="s">
        <v>21</v>
      </c>
      <c r="G18" s="20">
        <f>ROUND((G13+G14+G15+G16+G17),2)</f>
        <v>8363.73</v>
      </c>
    </row>
    <row r="19" spans="1:7" ht="27.75" customHeight="1" x14ac:dyDescent="0.2">
      <c r="A19" s="51" t="s">
        <v>29</v>
      </c>
      <c r="B19" s="52" t="s">
        <v>30</v>
      </c>
      <c r="C19" s="53"/>
      <c r="D19" s="53"/>
      <c r="E19" s="54"/>
      <c r="F19" s="16" t="s">
        <v>16</v>
      </c>
      <c r="G19" s="24">
        <f>(C5*0.11%)</f>
        <v>402.00507599999997</v>
      </c>
    </row>
    <row r="20" spans="1:7" ht="20.100000000000001" customHeight="1" x14ac:dyDescent="0.2">
      <c r="A20" s="44"/>
      <c r="B20" s="55" t="s">
        <v>31</v>
      </c>
      <c r="C20" s="56"/>
      <c r="D20" s="56"/>
      <c r="E20" s="57"/>
      <c r="F20" s="16" t="s">
        <v>16</v>
      </c>
      <c r="G20" s="24">
        <v>0</v>
      </c>
    </row>
    <row r="21" spans="1:7" ht="20.100000000000001" customHeight="1" x14ac:dyDescent="0.2">
      <c r="A21" s="44"/>
      <c r="B21" s="55" t="s">
        <v>32</v>
      </c>
      <c r="C21" s="56"/>
      <c r="D21" s="56"/>
      <c r="E21" s="57"/>
      <c r="F21" s="16" t="s">
        <v>16</v>
      </c>
      <c r="G21" s="24">
        <v>0</v>
      </c>
    </row>
    <row r="22" spans="1:7" ht="20.100000000000001" customHeight="1" thickBot="1" x14ac:dyDescent="0.25">
      <c r="A22" s="45"/>
      <c r="B22" s="58" t="s">
        <v>33</v>
      </c>
      <c r="C22" s="59"/>
      <c r="D22" s="59"/>
      <c r="E22" s="60"/>
      <c r="F22" s="19" t="s">
        <v>21</v>
      </c>
      <c r="G22" s="20">
        <f>ROUND((G19+G20+G21),2)</f>
        <v>402.01</v>
      </c>
    </row>
    <row r="23" spans="1:7" ht="29.25" customHeight="1" x14ac:dyDescent="0.2">
      <c r="A23" s="51" t="s">
        <v>34</v>
      </c>
      <c r="B23" s="52" t="s">
        <v>35</v>
      </c>
      <c r="C23" s="53"/>
      <c r="D23" s="53"/>
      <c r="E23" s="53"/>
      <c r="F23" s="25" t="s">
        <v>16</v>
      </c>
      <c r="G23" s="26">
        <f>(C5*0.58%)</f>
        <v>2119.6631279999997</v>
      </c>
    </row>
    <row r="24" spans="1:7" ht="20.100000000000001" customHeight="1" x14ac:dyDescent="0.2">
      <c r="A24" s="33"/>
      <c r="B24" s="55" t="s">
        <v>36</v>
      </c>
      <c r="C24" s="56"/>
      <c r="D24" s="56"/>
      <c r="E24" s="56"/>
      <c r="F24" s="16" t="s">
        <v>16</v>
      </c>
      <c r="G24" s="26">
        <v>0</v>
      </c>
    </row>
    <row r="25" spans="1:7" ht="20.100000000000001" customHeight="1" x14ac:dyDescent="0.2">
      <c r="A25" s="33"/>
      <c r="B25" s="55" t="s">
        <v>37</v>
      </c>
      <c r="C25" s="56"/>
      <c r="D25" s="56"/>
      <c r="E25" s="56"/>
      <c r="F25" s="16" t="s">
        <v>16</v>
      </c>
      <c r="G25" s="26">
        <v>0</v>
      </c>
    </row>
    <row r="26" spans="1:7" ht="20.100000000000001" customHeight="1" thickBot="1" x14ac:dyDescent="0.25">
      <c r="A26" s="45"/>
      <c r="B26" s="49" t="s">
        <v>38</v>
      </c>
      <c r="C26" s="50"/>
      <c r="D26" s="50"/>
      <c r="E26" s="50"/>
      <c r="F26" s="19" t="s">
        <v>21</v>
      </c>
      <c r="G26" s="20">
        <f>ROUND((G23+G24+G25),2)</f>
        <v>2119.66</v>
      </c>
    </row>
    <row r="27" spans="1:7" ht="45.75" customHeight="1" x14ac:dyDescent="0.2">
      <c r="A27" s="44" t="s">
        <v>39</v>
      </c>
      <c r="B27" s="46" t="s">
        <v>40</v>
      </c>
      <c r="C27" s="47"/>
      <c r="D27" s="47"/>
      <c r="E27" s="48"/>
      <c r="F27" s="27" t="s">
        <v>41</v>
      </c>
      <c r="G27" s="18">
        <f>-(G12+G22)</f>
        <v>-9515.5300000000007</v>
      </c>
    </row>
    <row r="28" spans="1:7" ht="20.100000000000001" customHeight="1" x14ac:dyDescent="0.2">
      <c r="A28" s="33"/>
      <c r="B28" s="46" t="s">
        <v>42</v>
      </c>
      <c r="C28" s="47"/>
      <c r="D28" s="47"/>
      <c r="E28" s="48"/>
      <c r="F28" s="27" t="s">
        <v>41</v>
      </c>
      <c r="G28" s="18">
        <v>0</v>
      </c>
    </row>
    <row r="29" spans="1:7" ht="20.100000000000001" customHeight="1" x14ac:dyDescent="0.2">
      <c r="A29" s="33"/>
      <c r="B29" s="46" t="s">
        <v>43</v>
      </c>
      <c r="C29" s="47"/>
      <c r="D29" s="47"/>
      <c r="E29" s="48"/>
      <c r="F29" s="27" t="s">
        <v>41</v>
      </c>
      <c r="G29" s="18">
        <v>0</v>
      </c>
    </row>
    <row r="30" spans="1:7" ht="20.100000000000001" customHeight="1" x14ac:dyDescent="0.2">
      <c r="A30" s="33"/>
      <c r="B30" s="46" t="s">
        <v>44</v>
      </c>
      <c r="C30" s="47"/>
      <c r="D30" s="47"/>
      <c r="E30" s="48"/>
      <c r="F30" s="27" t="s">
        <v>41</v>
      </c>
      <c r="G30" s="18">
        <v>0</v>
      </c>
    </row>
    <row r="31" spans="1:7" ht="20.100000000000001" customHeight="1" thickBot="1" x14ac:dyDescent="0.25">
      <c r="A31" s="45"/>
      <c r="B31" s="49" t="s">
        <v>45</v>
      </c>
      <c r="C31" s="50"/>
      <c r="D31" s="50"/>
      <c r="E31" s="50"/>
      <c r="F31" s="19" t="s">
        <v>21</v>
      </c>
      <c r="G31" s="20">
        <f>ROUND((G27+G28+G29+G30),2)</f>
        <v>-9515.5300000000007</v>
      </c>
    </row>
    <row r="32" spans="1:7" ht="15" customHeight="1" thickBot="1" x14ac:dyDescent="0.25">
      <c r="A32" s="30" t="s">
        <v>46</v>
      </c>
      <c r="B32" s="31"/>
      <c r="C32" s="31"/>
      <c r="D32" s="31"/>
      <c r="E32" s="31"/>
      <c r="F32" s="28" t="s">
        <v>21</v>
      </c>
      <c r="G32" s="29">
        <f>ROUND((G12+G18+G22+G26+G31),2)</f>
        <v>10483.39</v>
      </c>
    </row>
    <row r="33" spans="1:7" ht="54" customHeight="1" x14ac:dyDescent="0.2">
      <c r="A33" s="32" t="s">
        <v>47</v>
      </c>
      <c r="B33" s="35" t="s">
        <v>48</v>
      </c>
      <c r="C33" s="36"/>
      <c r="D33" s="36"/>
      <c r="E33" s="36"/>
      <c r="F33" s="36"/>
      <c r="G33" s="37"/>
    </row>
    <row r="34" spans="1:7" ht="33" customHeight="1" x14ac:dyDescent="0.2">
      <c r="A34" s="33"/>
      <c r="B34" s="38" t="s">
        <v>49</v>
      </c>
      <c r="C34" s="39"/>
      <c r="D34" s="39"/>
      <c r="E34" s="39"/>
      <c r="F34" s="39"/>
      <c r="G34" s="40"/>
    </row>
    <row r="35" spans="1:7" ht="36.75" customHeight="1" thickBot="1" x14ac:dyDescent="0.25">
      <c r="A35" s="34"/>
      <c r="B35" s="41" t="s">
        <v>50</v>
      </c>
      <c r="C35" s="42"/>
      <c r="D35" s="42"/>
      <c r="E35" s="42"/>
      <c r="F35" s="42"/>
      <c r="G35" s="43"/>
    </row>
  </sheetData>
  <protectedRanges>
    <protectedRange sqref="G5:G6" name="Reajuste_1"/>
    <protectedRange sqref="G13:G17" name="Contrib Partic"/>
    <protectedRange sqref="G8:G11" name="Contrib Patroc"/>
    <protectedRange sqref="G2" name="Mês"/>
    <protectedRange sqref="B30:E30" name="Outros"/>
  </protectedRanges>
  <mergeCells count="43">
    <mergeCell ref="A1:F1"/>
    <mergeCell ref="A2:F2"/>
    <mergeCell ref="A3:G3"/>
    <mergeCell ref="A4:C4"/>
    <mergeCell ref="A5:B5"/>
    <mergeCell ref="D5:D6"/>
    <mergeCell ref="E5:E6"/>
    <mergeCell ref="A6:B6"/>
    <mergeCell ref="A7:E7"/>
    <mergeCell ref="A8:A12"/>
    <mergeCell ref="B8:E8"/>
    <mergeCell ref="B9:E9"/>
    <mergeCell ref="B10:E10"/>
    <mergeCell ref="B11:E11"/>
    <mergeCell ref="B12:E12"/>
    <mergeCell ref="A13:A18"/>
    <mergeCell ref="B13:E13"/>
    <mergeCell ref="B14:E14"/>
    <mergeCell ref="B15:E15"/>
    <mergeCell ref="B16:E16"/>
    <mergeCell ref="B17:E17"/>
    <mergeCell ref="B18:E18"/>
    <mergeCell ref="A23:A26"/>
    <mergeCell ref="B23:E23"/>
    <mergeCell ref="B24:E24"/>
    <mergeCell ref="B25:E25"/>
    <mergeCell ref="B26:E26"/>
    <mergeCell ref="A19:A22"/>
    <mergeCell ref="B19:E19"/>
    <mergeCell ref="B20:E20"/>
    <mergeCell ref="B21:E21"/>
    <mergeCell ref="B22:E22"/>
    <mergeCell ref="A27:A31"/>
    <mergeCell ref="B27:E27"/>
    <mergeCell ref="B28:E28"/>
    <mergeCell ref="B29:E29"/>
    <mergeCell ref="B30:E30"/>
    <mergeCell ref="B31:E31"/>
    <mergeCell ref="A32:E32"/>
    <mergeCell ref="A33:A35"/>
    <mergeCell ref="B33:G33"/>
    <mergeCell ref="B34:G34"/>
    <mergeCell ref="B35:G35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Folha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Egildo</dc:creator>
  <cp:lastModifiedBy>Sousa, Caio</cp:lastModifiedBy>
  <dcterms:created xsi:type="dcterms:W3CDTF">2020-10-09T11:28:00Z</dcterms:created>
  <dcterms:modified xsi:type="dcterms:W3CDTF">2021-03-27T17:35:25Z</dcterms:modified>
</cp:coreProperties>
</file>