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6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7.xml" ContentType="application/vnd.openxmlformats-officedocument.drawing+xml"/>
  <Override PartName="/xl/charts/chart3.xml" ContentType="application/vnd.openxmlformats-officedocument.drawingml.chart+xml"/>
  <Override PartName="/xl/drawings/drawing8.xml" ContentType="application/vnd.openxmlformats-officedocument.drawingml.chartshapes+xml"/>
  <Override PartName="/xl/drawings/drawing9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C:\Users\CSOUSA\Desktop\Estrutura\Treinamento\EXCEL\"/>
    </mc:Choice>
  </mc:AlternateContent>
  <xr:revisionPtr revIDLastSave="0" documentId="13_ncr:1_{3E948996-3130-45B2-B06E-61E89D62BCFC}" xr6:coauthVersionLast="45" xr6:coauthVersionMax="45" xr10:uidLastSave="{00000000-0000-0000-0000-000000000000}"/>
  <workbookProtection workbookAlgorithmName="SHA-512" workbookHashValue="iswi1aME99+GZ60pxMo5r5kUGp1jfOJFwhxYvziV4KXK6U5NuqmQrI2WDusNCY1WPlzhGcnshX2xRZb4igSEIw==" workbookSaltValue="f2TOfpsHlax2Z6hX4QwAIQ==" workbookSpinCount="100000" lockStructure="1"/>
  <bookViews>
    <workbookView showSheetTabs="0" xWindow="-120" yWindow="-120" windowWidth="29040" windowHeight="15840" tabRatio="627" activeTab="1" xr2:uid="{00000000-000D-0000-FFFF-FFFF00000000}"/>
  </bookViews>
  <sheets>
    <sheet name="INÍCIO" sheetId="2" r:id="rId1"/>
    <sheet name="INSTRUÇÕES" sheetId="3" r:id="rId2"/>
    <sheet name="FORMATAÇÃO" sheetId="1" state="hidden" r:id="rId3"/>
    <sheet name="FÓRMULAS BÁSICAS" sheetId="4" state="hidden" r:id="rId4"/>
    <sheet name="PORCENTAGEM" sheetId="5" state="hidden" r:id="rId5"/>
    <sheet name="ANÁLISE DE VENDAS" sheetId="6" state="hidden" r:id="rId6"/>
    <sheet name="NOTA FINAL" sheetId="7" state="hidden" r:id="rId7"/>
    <sheet name="configs" sheetId="8" state="hidden" r:id="rId8"/>
    <sheet name="FINALIZAÇÃO" sheetId="9" state="hidden" r:id="rId9"/>
    <sheet name="Plan1" sheetId="10" state="hidden" r:id="rId10"/>
  </sheets>
  <functionGroups builtInGroupCount="19"/>
  <definedNames>
    <definedName name="_xlnm._FilterDatabase" localSheetId="2" hidden="1">FORMATAÇÃO!$A$12:$B$12</definedName>
    <definedName name="DATA_TESTE">INÍCIO!$E$19</definedName>
    <definedName name="EMAIL">INÍCIO!$E$18</definedName>
    <definedName name="NOME">INÍCIO!$E$17</definedName>
    <definedName name="NOTA1_1">FORMATAÇÃO!$M$7</definedName>
    <definedName name="NOTA1_2">FORMATAÇÃO!$M$8</definedName>
    <definedName name="NOTA1_3">FORMATAÇÃO!$M$9</definedName>
    <definedName name="NOTA1_4">FORMATAÇÃO!$M$10</definedName>
    <definedName name="NOTA1_5">FORMATAÇÃO!$M$21</definedName>
    <definedName name="NOTA1_6">FORMATAÇÃO!$M$24</definedName>
    <definedName name="NOTA2_1">'FÓRMULAS BÁSICAS'!$K$5</definedName>
    <definedName name="NOTA2_2">'FÓRMULAS BÁSICAS'!$K$18</definedName>
    <definedName name="NOTA2_3">'FÓRMULAS BÁSICAS'!$K$19</definedName>
    <definedName name="NOTA2_4">'FÓRMULAS BÁSICAS'!$K$20</definedName>
    <definedName name="NOTA2_5">'FÓRMULAS BÁSICAS'!$K$21</definedName>
    <definedName name="NOTA3_1">PORCENTAGEM!$K$11</definedName>
    <definedName name="NOTA3_2">PORCENTAGEM!$K$29</definedName>
    <definedName name="NOTA4_1">'ANÁLISE DE VENDAS'!$L$8</definedName>
    <definedName name="NOTA4_2">'ANÁLISE DE VENDAS'!$L$12</definedName>
    <definedName name="NOTA4_3">'ANÁLISE DE VENDAS'!$L$15</definedName>
    <definedName name="NOTA4_4">'ANÁLISE DE VENDAS'!$L$23</definedName>
    <definedName name="NOTA4_5">'ANÁLISE DE VENDAS'!$L$27</definedName>
    <definedName name="NOTA4_6">'ANÁLISE DE VENDAS'!$L$30</definedName>
    <definedName name="NOTA4_7">'ANÁLISE DE VENDAS'!$L$43</definedName>
    <definedName name="NOTA4_8">'ANÁLISE DE VENDAS'!$L$49</definedName>
    <definedName name="NOTA4_9">'ANÁLISE DE VENDAS'!$L$19</definedName>
    <definedName name="SegmentaçãodeDados_META_POR_VALOR_TOTAL">#N/A</definedName>
  </definedNames>
  <calcPr calcId="191029"/>
  <pivotCaches>
    <pivotCache cacheId="1" r:id="rId11"/>
  </pivotCaches>
  <extLst>
    <ext xmlns:x14="http://schemas.microsoft.com/office/spreadsheetml/2009/9/main" uri="{BBE1A952-AA13-448e-AADC-164F8A28A991}">
      <x14:slicerCaches>
        <x14:slicerCache r:id="rId12"/>
      </x14:slicerCach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87" i="6" l="1"/>
  <c r="B82" i="6"/>
  <c r="E82" i="6"/>
  <c r="F82" i="6"/>
  <c r="G82" i="6"/>
  <c r="D82" i="6"/>
  <c r="B79" i="6"/>
  <c r="B68" i="6"/>
  <c r="B69" i="6"/>
  <c r="B70" i="6"/>
  <c r="B71" i="6"/>
  <c r="B67" i="6"/>
  <c r="B57" i="6"/>
  <c r="B56" i="6"/>
  <c r="F106" i="6" l="1"/>
  <c r="H106" i="6" s="1"/>
  <c r="F107" i="6"/>
  <c r="H107" i="6" s="1"/>
  <c r="F108" i="6"/>
  <c r="H108" i="6" s="1"/>
  <c r="F109" i="6"/>
  <c r="H109" i="6" s="1"/>
  <c r="F110" i="6"/>
  <c r="H110" i="6" s="1"/>
  <c r="F111" i="6"/>
  <c r="H111" i="6" s="1"/>
  <c r="F112" i="6"/>
  <c r="H112" i="6" s="1"/>
  <c r="F113" i="6"/>
  <c r="H113" i="6" s="1"/>
  <c r="F114" i="6"/>
  <c r="H114" i="6" s="1"/>
  <c r="F115" i="6"/>
  <c r="H115" i="6" s="1"/>
  <c r="F116" i="6"/>
  <c r="H116" i="6" s="1"/>
  <c r="F117" i="6"/>
  <c r="H117" i="6" s="1"/>
  <c r="E106" i="6"/>
  <c r="E107" i="6"/>
  <c r="E108" i="6"/>
  <c r="E109" i="6"/>
  <c r="E110" i="6"/>
  <c r="E111" i="6"/>
  <c r="E112" i="6"/>
  <c r="E113" i="6"/>
  <c r="E114" i="6"/>
  <c r="E115" i="6"/>
  <c r="E116" i="6"/>
  <c r="E117" i="6"/>
  <c r="D106" i="6"/>
  <c r="D107" i="6"/>
  <c r="D108" i="6"/>
  <c r="D109" i="6"/>
  <c r="D110" i="6"/>
  <c r="D111" i="6"/>
  <c r="D112" i="6"/>
  <c r="D113" i="6"/>
  <c r="D114" i="6"/>
  <c r="D115" i="6"/>
  <c r="D116" i="6"/>
  <c r="D117" i="6"/>
  <c r="C30" i="5"/>
  <c r="C31" i="5"/>
  <c r="C32" i="5"/>
  <c r="C33" i="5"/>
  <c r="C34" i="5"/>
  <c r="C35" i="5"/>
  <c r="C36" i="5"/>
  <c r="C37" i="5"/>
  <c r="C38" i="5"/>
  <c r="C29" i="5"/>
  <c r="D12" i="5"/>
  <c r="D13" i="5"/>
  <c r="D14" i="5"/>
  <c r="D15" i="5"/>
  <c r="D16" i="5"/>
  <c r="D17" i="5"/>
  <c r="D18" i="5"/>
  <c r="D11" i="5"/>
  <c r="E12" i="5"/>
  <c r="E13" i="5"/>
  <c r="E14" i="5"/>
  <c r="E15" i="5"/>
  <c r="E16" i="5"/>
  <c r="E17" i="5"/>
  <c r="E18" i="5"/>
  <c r="E11" i="5"/>
  <c r="D9" i="4" l="1"/>
  <c r="D10" i="4"/>
  <c r="D11" i="4"/>
  <c r="D12" i="4"/>
  <c r="D13" i="4"/>
  <c r="D18" i="4"/>
  <c r="D8" i="4"/>
  <c r="D19" i="4" l="1"/>
  <c r="D20" i="4"/>
  <c r="D21" i="4"/>
  <c r="G117" i="6"/>
  <c r="G116" i="6"/>
  <c r="G115" i="6"/>
  <c r="G114" i="6"/>
  <c r="G113" i="6"/>
  <c r="G112" i="6"/>
  <c r="G111" i="6"/>
  <c r="G110" i="6"/>
  <c r="G109" i="6"/>
  <c r="G108" i="6"/>
  <c r="G107" i="6"/>
  <c r="G106" i="6"/>
  <c r="D46" i="6" l="1"/>
  <c r="O5" i="7"/>
  <c r="R5" i="7"/>
  <c r="S5" i="7" s="1"/>
  <c r="P5" i="7" l="1"/>
  <c r="L5" i="7"/>
  <c r="M5" i="7" s="1"/>
  <c r="I5" i="7"/>
  <c r="J5" i="7" s="1"/>
  <c r="F5" i="7"/>
  <c r="A6" i="9"/>
  <c r="G5" i="7" l="1"/>
  <c r="T5" i="7"/>
  <c r="D5" i="7"/>
  <c r="C5" i="7"/>
  <c r="B5" i="7"/>
  <c r="B2" i="3"/>
</calcChain>
</file>

<file path=xl/sharedStrings.xml><?xml version="1.0" encoding="utf-8"?>
<sst xmlns="http://schemas.openxmlformats.org/spreadsheetml/2006/main" count="234" uniqueCount="160">
  <si>
    <t>PRODUTO</t>
  </si>
  <si>
    <t>Cadeado</t>
  </si>
  <si>
    <t>Farol Plástico</t>
  </si>
  <si>
    <t>Antena para Roteador</t>
  </si>
  <si>
    <t>Ciclocomputador</t>
  </si>
  <si>
    <t>Conector RJ 45</t>
  </si>
  <si>
    <t>QTDE</t>
  </si>
  <si>
    <t>VALOR UNITÁRIO</t>
  </si>
  <si>
    <t>"Veja abaixo os últimos lançamentos da Multilaser"</t>
  </si>
  <si>
    <t>PARTICIPAÇÃO</t>
  </si>
  <si>
    <t>NOME</t>
  </si>
  <si>
    <t>EMAIL</t>
  </si>
  <si>
    <t>NOME COMPLETO:</t>
  </si>
  <si>
    <t>EMAIL:</t>
  </si>
  <si>
    <t>DATA QUE ESTÁ REALIZANDO O TESTE:</t>
  </si>
  <si>
    <t>Boa prova - Equipe de RH - Multilaser</t>
  </si>
  <si>
    <t>Produto</t>
  </si>
  <si>
    <t>Cartao De Memoria 4gb - Mc456</t>
  </si>
  <si>
    <t>Supra Rosa NB154</t>
  </si>
  <si>
    <t>Galaxy Slll Power Bank - Bo349</t>
  </si>
  <si>
    <t>Teclado Para Tablet Android 7" - Tc178</t>
  </si>
  <si>
    <t>1) Formate a tabela abaixo com os seguintes itens:</t>
  </si>
  <si>
    <t>Quantidade</t>
  </si>
  <si>
    <t>A</t>
  </si>
  <si>
    <t>B</t>
  </si>
  <si>
    <t>C</t>
  </si>
  <si>
    <t>D</t>
  </si>
  <si>
    <t>E</t>
  </si>
  <si>
    <t>Tablet 1</t>
  </si>
  <si>
    <t>Tablet 3</t>
  </si>
  <si>
    <t>Tablet 2</t>
  </si>
  <si>
    <t>Peso Total</t>
  </si>
  <si>
    <t>Peso unitário</t>
  </si>
  <si>
    <t>Tablet 4</t>
  </si>
  <si>
    <t>Tablet 5</t>
  </si>
  <si>
    <t>1) Preencha as células destacadas em amarelo</t>
  </si>
  <si>
    <t>F</t>
  </si>
  <si>
    <t>G</t>
  </si>
  <si>
    <t>H</t>
  </si>
  <si>
    <t>I</t>
  </si>
  <si>
    <t>J</t>
  </si>
  <si>
    <t>PREÇO DE VENDA</t>
  </si>
  <si>
    <t>A tabela da direita apresenta a lista dos códigos de barras, suas descrições, valores unitários e departamentos.</t>
  </si>
  <si>
    <t>CÓDIGO</t>
  </si>
  <si>
    <t>QTDE VENDIDA</t>
  </si>
  <si>
    <t>VALOR TOTAL</t>
  </si>
  <si>
    <t>DESCRIÇÃO</t>
  </si>
  <si>
    <t>DEPARTAMENTO</t>
  </si>
  <si>
    <t>CADASTRO DE PRODUTOS</t>
  </si>
  <si>
    <t>Kit Farol</t>
  </si>
  <si>
    <t>Squeeze Bi014</t>
  </si>
  <si>
    <t>Screet Verde - Es036</t>
  </si>
  <si>
    <t>Supra Brancoi</t>
  </si>
  <si>
    <t>Freedom</t>
  </si>
  <si>
    <t>Teclado Gamer - Tc167</t>
  </si>
  <si>
    <t>Segurança</t>
  </si>
  <si>
    <t>Iluminação</t>
  </si>
  <si>
    <t>Informática</t>
  </si>
  <si>
    <t>Compartimentos</t>
  </si>
  <si>
    <t>Brinquedos</t>
  </si>
  <si>
    <t>Tablets</t>
  </si>
  <si>
    <t>Auto</t>
  </si>
  <si>
    <t>Boombox - Sp163</t>
  </si>
  <si>
    <t>EletroEletronico</t>
  </si>
  <si>
    <t>DATA</t>
  </si>
  <si>
    <t>Questões sobre formatação (1/4)</t>
  </si>
  <si>
    <t>Fórmulas Básicas (2/4)</t>
  </si>
  <si>
    <t>Porcentagem (3/4)</t>
  </si>
  <si>
    <t>DATA DO TESTE</t>
  </si>
  <si>
    <t>ACERTOS</t>
  </si>
  <si>
    <t>ANÁLISE RH</t>
  </si>
  <si>
    <t>HABILITE AS MACROS E INSIRA SEUS DADOS ABAIXO ANTES DE PROSSEGUIR:</t>
  </si>
  <si>
    <t>META POR VALOR TOTAL</t>
  </si>
  <si>
    <t>TABELA DE VENDAS DO MÊS DE JUNHO/14</t>
  </si>
  <si>
    <r>
      <rPr>
        <sz val="11"/>
        <color theme="1"/>
        <rFont val="Calibri"/>
        <family val="2"/>
      </rPr>
      <t>●</t>
    </r>
    <r>
      <rPr>
        <i/>
        <sz val="11"/>
        <color theme="1"/>
        <rFont val="Calibri"/>
        <family val="2"/>
      </rPr>
      <t xml:space="preserve"> </t>
    </r>
    <r>
      <rPr>
        <i/>
        <sz val="11"/>
        <color theme="1"/>
        <rFont val="Calibri"/>
        <family val="2"/>
        <scheme val="minor"/>
      </rPr>
      <t>Bordas em todas células da tabela</t>
    </r>
  </si>
  <si>
    <t>● Cabeçalho com preenchimento azul e fonte branca</t>
  </si>
  <si>
    <t>● Participação como porcentagem com 2 casas decimais</t>
  </si>
  <si>
    <t>2) Na célula amarela, utilize a opção para quebrar o texto automaticamente:</t>
  </si>
  <si>
    <r>
      <t xml:space="preserve">3) Utilize a opção </t>
    </r>
    <r>
      <rPr>
        <b/>
        <u/>
        <sz val="14"/>
        <color theme="1"/>
        <rFont val="Calibri"/>
        <family val="2"/>
        <scheme val="minor"/>
      </rPr>
      <t>mesclar</t>
    </r>
    <r>
      <rPr>
        <b/>
        <sz val="14"/>
        <color theme="1"/>
        <rFont val="Calibri"/>
        <family val="2"/>
        <scheme val="minor"/>
      </rPr>
      <t xml:space="preserve"> nas últimas 3 linhas da tabela abaixo conforme padrão já pré-adotado </t>
    </r>
  </si>
  <si>
    <t>na primeira linha da tabela.</t>
  </si>
  <si>
    <t>Análise dos Pesos Totais</t>
  </si>
  <si>
    <t>● Média dos pesos totais</t>
  </si>
  <si>
    <t>● Maior peso total encontrado</t>
  </si>
  <si>
    <t>● Menor peso total encontrado</t>
  </si>
  <si>
    <t>● Soma dos pesos totais</t>
  </si>
  <si>
    <t>FORMTAÇÃO</t>
  </si>
  <si>
    <t>FÓRMULAS BÁSICAS</t>
  </si>
  <si>
    <t>PORCENTAGEM</t>
  </si>
  <si>
    <t>EXCEL AVANÇADO</t>
  </si>
  <si>
    <t>NOTA FINAL</t>
  </si>
  <si>
    <t>META</t>
  </si>
  <si>
    <t>VENDAS</t>
  </si>
  <si>
    <t>% ATINGIMENTO META</t>
  </si>
  <si>
    <t>PREÇO COM DESC DE 12%</t>
  </si>
  <si>
    <t>LINHA</t>
  </si>
  <si>
    <r>
      <rPr>
        <b/>
        <sz val="11"/>
        <color theme="1"/>
        <rFont val="Calibri"/>
        <family val="2"/>
        <scheme val="minor"/>
      </rPr>
      <t xml:space="preserve">2) </t>
    </r>
    <r>
      <rPr>
        <sz val="11"/>
        <color theme="1"/>
        <rFont val="Calibri"/>
        <family val="2"/>
        <scheme val="minor"/>
      </rPr>
      <t>Imagine que você é o dono de uma revenda dos produtos da Multilaser. Sua loja irá fazer aniversário na próxima semana e para aumentar as vendas, você resolveu fazer uma promoção e aplicar 12% de desconto em todos os produtos de sua loja. Os produtos que você vende e os valores atuais (sem o ajuste) estão descritos abaixo. Encontre o valor que cada produto deve ser vendido na semana da promoção aplicando o desconto de 12%.</t>
    </r>
  </si>
  <si>
    <t>RESULTADO DO TESTE (% DE ACERTOS)</t>
  </si>
  <si>
    <t>QUESTÕES</t>
  </si>
  <si>
    <t>NOTA</t>
  </si>
  <si>
    <t>provarhmulti10</t>
  </si>
  <si>
    <r>
      <t xml:space="preserve">2) Nas células destacadas em </t>
    </r>
    <r>
      <rPr>
        <b/>
        <u/>
        <sz val="14"/>
        <color theme="1"/>
        <rFont val="Calibri"/>
        <family val="2"/>
        <scheme val="minor"/>
      </rPr>
      <t>amarelo</t>
    </r>
    <r>
      <rPr>
        <b/>
        <sz val="14"/>
        <color theme="1"/>
        <rFont val="Calibri"/>
        <family val="2"/>
        <scheme val="minor"/>
      </rPr>
      <t xml:space="preserve">, utilize </t>
    </r>
    <r>
      <rPr>
        <b/>
        <u/>
        <sz val="14"/>
        <color theme="1"/>
        <rFont val="Calibri"/>
        <family val="2"/>
        <scheme val="minor"/>
      </rPr>
      <t>fórmulas</t>
    </r>
    <r>
      <rPr>
        <b/>
        <sz val="14"/>
        <color theme="1"/>
        <rFont val="Calibri"/>
        <family val="2"/>
        <scheme val="minor"/>
      </rPr>
      <t xml:space="preserve"> para encontrar os resultados solicitados com base na tabela do exercícios anterior:</t>
    </r>
  </si>
  <si>
    <t>Parabéns! Você completou a prova!</t>
  </si>
  <si>
    <t>Agora salve o arquivo com o seu nome no final, conforme exemplo:</t>
  </si>
  <si>
    <t>RH Multilaser</t>
  </si>
  <si>
    <t>● Valor unitário como "Contábil" com 2 casas decimais</t>
  </si>
  <si>
    <r>
      <rPr>
        <b/>
        <sz val="11"/>
        <color theme="1"/>
        <rFont val="Calibri"/>
        <family val="2"/>
        <scheme val="minor"/>
      </rPr>
      <t xml:space="preserve">1) </t>
    </r>
    <r>
      <rPr>
        <sz val="11"/>
        <color theme="1"/>
        <rFont val="Calibri"/>
        <family val="2"/>
        <scheme val="minor"/>
      </rPr>
      <t>A Multilaser trabalha com uma grande quantidade de linhas e produtos. A tabela abaixo apresenta uma tabela fictícia das metas das vendas estipuladas para cada linha no mês de abril assim como o resultado obtido no mesmo mês. Crie a fórmula capaz de mostrar a porcentagem de atingimento da meta. Ou seja, se foi estipulado vender 100 unidades e você vendeu 150 sua porcentagem de atingimento foi de 150%. Encontre essa porcentagem para cada célula destacada em amarelo abaixo:</t>
    </r>
  </si>
  <si>
    <r>
      <rPr>
        <b/>
        <sz val="11"/>
        <color theme="1"/>
        <rFont val="Calibri"/>
        <family val="2"/>
        <scheme val="minor"/>
      </rPr>
      <t>1)</t>
    </r>
    <r>
      <rPr>
        <sz val="11"/>
        <color theme="1"/>
        <rFont val="Calibri"/>
        <family val="2"/>
        <scheme val="minor"/>
      </rPr>
      <t xml:space="preserve"> Transforme as duas tabelas abaixo em "</t>
    </r>
    <r>
      <rPr>
        <b/>
        <sz val="11"/>
        <color theme="1"/>
        <rFont val="Calibri"/>
        <family val="2"/>
        <scheme val="minor"/>
      </rPr>
      <t>tabela</t>
    </r>
    <r>
      <rPr>
        <sz val="11"/>
        <color theme="1"/>
        <rFont val="Calibri"/>
        <family val="2"/>
        <scheme val="minor"/>
      </rPr>
      <t>", nova formatação de dados do Excel que surgiu a partir da versão 2007 do Excel (se você não souber transformar em "Tabela", continue a prova. Será possível finalizá-la normalmente).</t>
    </r>
  </si>
  <si>
    <r>
      <rPr>
        <b/>
        <sz val="11"/>
        <color theme="1"/>
        <rFont val="Calibri"/>
        <family val="2"/>
        <scheme val="minor"/>
      </rPr>
      <t>4)</t>
    </r>
    <r>
      <rPr>
        <sz val="11"/>
        <color theme="1"/>
        <rFont val="Calibri"/>
        <family val="2"/>
        <scheme val="minor"/>
      </rPr>
      <t xml:space="preserve"> Na "</t>
    </r>
    <r>
      <rPr>
        <b/>
        <sz val="11"/>
        <color theme="1"/>
        <rFont val="Calibri"/>
        <family val="2"/>
        <scheme val="minor"/>
      </rPr>
      <t>TABELA DE VENDAS</t>
    </r>
    <r>
      <rPr>
        <sz val="11"/>
        <color theme="1"/>
        <rFont val="Calibri"/>
        <family val="2"/>
        <scheme val="minor"/>
      </rPr>
      <t xml:space="preserve">", crie uma </t>
    </r>
    <r>
      <rPr>
        <b/>
        <sz val="11"/>
        <color theme="1"/>
        <rFont val="Calibri"/>
        <family val="2"/>
        <scheme val="minor"/>
      </rPr>
      <t>formatação condicional</t>
    </r>
    <r>
      <rPr>
        <sz val="11"/>
        <color theme="1"/>
        <rFont val="Calibri"/>
        <family val="2"/>
        <scheme val="minor"/>
      </rPr>
      <t xml:space="preserve"> na coluna "</t>
    </r>
    <r>
      <rPr>
        <b/>
        <sz val="11"/>
        <color theme="1"/>
        <rFont val="Calibri"/>
        <family val="2"/>
        <scheme val="minor"/>
      </rPr>
      <t>VALOR TOTAL</t>
    </r>
    <r>
      <rPr>
        <sz val="11"/>
        <color theme="1"/>
        <rFont val="Calibri"/>
        <family val="2"/>
        <scheme val="minor"/>
      </rPr>
      <t xml:space="preserve">" que pinte as células </t>
    </r>
    <r>
      <rPr>
        <b/>
        <sz val="11"/>
        <color theme="1"/>
        <rFont val="Calibri"/>
        <family val="2"/>
        <scheme val="minor"/>
      </rPr>
      <t>maiores ou iguais a R$500,00</t>
    </r>
    <r>
      <rPr>
        <sz val="11"/>
        <color theme="1"/>
        <rFont val="Calibri"/>
        <family val="2"/>
        <scheme val="minor"/>
      </rPr>
      <t xml:space="preserve"> com a cor verde e as </t>
    </r>
    <r>
      <rPr>
        <b/>
        <sz val="11"/>
        <color theme="1"/>
        <rFont val="Calibri"/>
        <family val="2"/>
        <scheme val="minor"/>
      </rPr>
      <t>menores do que R$500,00</t>
    </r>
    <r>
      <rPr>
        <sz val="11"/>
        <color theme="1"/>
        <rFont val="Calibri"/>
        <family val="2"/>
        <scheme val="minor"/>
      </rPr>
      <t xml:space="preserve"> com a cor vermelha.</t>
    </r>
  </si>
  <si>
    <r>
      <rPr>
        <b/>
        <sz val="11"/>
        <color theme="1"/>
        <rFont val="Calibri"/>
        <family val="2"/>
        <scheme val="minor"/>
      </rPr>
      <t>5)</t>
    </r>
    <r>
      <rPr>
        <sz val="11"/>
        <color theme="1"/>
        <rFont val="Calibri"/>
        <family val="2"/>
        <scheme val="minor"/>
      </rPr>
      <t xml:space="preserve"> Através de uma </t>
    </r>
    <r>
      <rPr>
        <b/>
        <sz val="11"/>
        <color theme="1"/>
        <rFont val="Calibri"/>
        <family val="2"/>
        <scheme val="minor"/>
      </rPr>
      <t>tabela dinâmica</t>
    </r>
    <r>
      <rPr>
        <sz val="11"/>
        <color theme="1"/>
        <rFont val="Calibri"/>
        <family val="2"/>
        <scheme val="minor"/>
      </rPr>
      <t xml:space="preserve">, identifique a partir do registro das vendas, qual </t>
    </r>
    <r>
      <rPr>
        <b/>
        <sz val="11"/>
        <color theme="1"/>
        <rFont val="Calibri"/>
        <family val="2"/>
        <scheme val="minor"/>
      </rPr>
      <t>DEPARTAMENTO</t>
    </r>
    <r>
      <rPr>
        <sz val="11"/>
        <color theme="1"/>
        <rFont val="Calibri"/>
        <family val="2"/>
        <scheme val="minor"/>
      </rPr>
      <t xml:space="preserve"> obteve maior </t>
    </r>
    <r>
      <rPr>
        <b/>
        <sz val="11"/>
        <color theme="1"/>
        <rFont val="Calibri"/>
        <family val="2"/>
        <scheme val="minor"/>
      </rPr>
      <t>quantidade</t>
    </r>
    <r>
      <rPr>
        <sz val="11"/>
        <color theme="1"/>
        <rFont val="Calibri"/>
        <family val="2"/>
        <scheme val="minor"/>
      </rPr>
      <t xml:space="preserve"> de vendas. Crie a </t>
    </r>
    <r>
      <rPr>
        <b/>
        <sz val="11"/>
        <color theme="1"/>
        <rFont val="Calibri"/>
        <family val="2"/>
        <scheme val="minor"/>
      </rPr>
      <t>tabela dinâmica</t>
    </r>
    <r>
      <rPr>
        <sz val="11"/>
        <color theme="1"/>
        <rFont val="Calibri"/>
        <family val="2"/>
        <scheme val="minor"/>
      </rPr>
      <t xml:space="preserve"> nesta mesma planilha, logo abaixo da "</t>
    </r>
    <r>
      <rPr>
        <b/>
        <sz val="11"/>
        <color theme="1"/>
        <rFont val="Calibri"/>
        <family val="2"/>
        <scheme val="minor"/>
      </rPr>
      <t>TABELA DE VENDAS</t>
    </r>
    <r>
      <rPr>
        <sz val="11"/>
        <color theme="1"/>
        <rFont val="Calibri"/>
        <family val="2"/>
        <scheme val="minor"/>
      </rPr>
      <t xml:space="preserve">" (de preferência, a partir da linha 50). </t>
    </r>
    <r>
      <rPr>
        <b/>
        <sz val="11"/>
        <color theme="1"/>
        <rFont val="Calibri"/>
        <family val="2"/>
        <scheme val="minor"/>
      </rPr>
      <t xml:space="preserve">Classifique </t>
    </r>
    <r>
      <rPr>
        <sz val="11"/>
        <color theme="1"/>
        <rFont val="Calibri"/>
        <family val="2"/>
        <scheme val="minor"/>
      </rPr>
      <t>o resultado "</t>
    </r>
    <r>
      <rPr>
        <b/>
        <sz val="11"/>
        <color theme="1"/>
        <rFont val="Calibri"/>
        <family val="2"/>
        <scheme val="minor"/>
      </rPr>
      <t>do maior para o menor</t>
    </r>
    <r>
      <rPr>
        <sz val="11"/>
        <color theme="1"/>
        <rFont val="Calibri"/>
        <family val="2"/>
        <scheme val="minor"/>
      </rPr>
      <t>"</t>
    </r>
  </si>
  <si>
    <r>
      <rPr>
        <b/>
        <sz val="11"/>
        <color theme="1"/>
        <rFont val="Calibri"/>
        <family val="2"/>
        <scheme val="minor"/>
      </rPr>
      <t xml:space="preserve">6) </t>
    </r>
    <r>
      <rPr>
        <sz val="11"/>
        <color theme="1"/>
        <rFont val="Calibri"/>
        <family val="2"/>
        <scheme val="minor"/>
      </rPr>
      <t>Com base na tabela dinâmica criada no exercício anterior, crie um gráfico dinâmico de colunas.</t>
    </r>
  </si>
  <si>
    <r>
      <rPr>
        <b/>
        <sz val="11"/>
        <color theme="1"/>
        <rFont val="Calibri"/>
        <family val="2"/>
        <scheme val="minor"/>
      </rPr>
      <t>7)</t>
    </r>
    <r>
      <rPr>
        <sz val="11"/>
        <color theme="1"/>
        <rFont val="Calibri"/>
        <family val="2"/>
        <scheme val="minor"/>
      </rPr>
      <t xml:space="preserve"> No gráfico elaborado na questão anterior, adicione o </t>
    </r>
    <r>
      <rPr>
        <b/>
        <sz val="11"/>
        <color theme="1"/>
        <rFont val="Calibri"/>
        <family val="2"/>
        <scheme val="minor"/>
      </rPr>
      <t>título</t>
    </r>
    <r>
      <rPr>
        <sz val="11"/>
        <color theme="1"/>
        <rFont val="Calibri"/>
        <family val="2"/>
        <scheme val="minor"/>
      </rPr>
      <t xml:space="preserve"> "</t>
    </r>
    <r>
      <rPr>
        <b/>
        <sz val="11"/>
        <color theme="1"/>
        <rFont val="Calibri"/>
        <family val="2"/>
        <scheme val="minor"/>
      </rPr>
      <t>Departamento x Quantidade</t>
    </r>
    <r>
      <rPr>
        <sz val="11"/>
        <color theme="1"/>
        <rFont val="Calibri"/>
        <family val="2"/>
        <scheme val="minor"/>
      </rPr>
      <t>"</t>
    </r>
  </si>
  <si>
    <r>
      <rPr>
        <b/>
        <sz val="11"/>
        <color theme="1"/>
        <rFont val="Calibri"/>
        <family val="2"/>
        <scheme val="minor"/>
      </rPr>
      <t>10)</t>
    </r>
    <r>
      <rPr>
        <sz val="11"/>
        <color theme="1"/>
        <rFont val="Calibri"/>
        <family val="2"/>
        <scheme val="minor"/>
      </rPr>
      <t xml:space="preserve"> </t>
    </r>
    <r>
      <rPr>
        <b/>
        <sz val="11"/>
        <color theme="1"/>
        <rFont val="Calibri"/>
        <family val="2"/>
        <scheme val="minor"/>
      </rPr>
      <t xml:space="preserve">Dentro </t>
    </r>
    <r>
      <rPr>
        <sz val="11"/>
        <color theme="1"/>
        <rFont val="Calibri"/>
        <family val="2"/>
        <scheme val="minor"/>
      </rPr>
      <t xml:space="preserve">da tabela dinâmica elaborada no exercício anterior, crie um </t>
    </r>
    <r>
      <rPr>
        <b/>
        <sz val="11"/>
        <color theme="1"/>
        <rFont val="Calibri"/>
        <family val="2"/>
        <scheme val="minor"/>
      </rPr>
      <t xml:space="preserve">campo calculado </t>
    </r>
    <r>
      <rPr>
        <sz val="11"/>
        <color theme="1"/>
        <rFont val="Calibri"/>
        <family val="2"/>
        <scheme val="minor"/>
      </rPr>
      <t>denominado "</t>
    </r>
    <r>
      <rPr>
        <b/>
        <sz val="11"/>
        <color theme="1"/>
        <rFont val="Calibri"/>
        <family val="2"/>
        <scheme val="minor"/>
      </rPr>
      <t>comissão em R$</t>
    </r>
    <r>
      <rPr>
        <sz val="11"/>
        <color theme="1"/>
        <rFont val="Calibri"/>
        <family val="2"/>
        <scheme val="minor"/>
      </rPr>
      <t>", capaz de calcular a comissão de cada venda, sendo que a comissão estabelecida pela empresa é de 4% do valor total.</t>
    </r>
  </si>
  <si>
    <t>AVANÇADO: Tabela e Gráficos dinâmicos, fórmulas, Macros e VBA (4/4)</t>
  </si>
  <si>
    <t>Abaixo você encontrará duas tabelas que serão utilizadas na maioria dos exercícios propostos nesta etapa.</t>
  </si>
  <si>
    <t>A tabela da esquerda apresenta uma lista fictícia dos produtos que foram vendidos pela empresa no mês de junho/2014.</t>
  </si>
  <si>
    <t>MACROS E VBA</t>
  </si>
  <si>
    <r>
      <rPr>
        <b/>
        <sz val="11"/>
        <color theme="1"/>
        <rFont val="Calibri"/>
        <family val="2"/>
        <scheme val="minor"/>
      </rPr>
      <t>12)</t>
    </r>
    <r>
      <rPr>
        <sz val="11"/>
        <color theme="1"/>
        <rFont val="Calibri"/>
        <family val="2"/>
        <scheme val="minor"/>
      </rPr>
      <t xml:space="preserve"> Na célula acima descadata de vermelho, crie uma "</t>
    </r>
    <r>
      <rPr>
        <b/>
        <sz val="11"/>
        <color theme="1"/>
        <rFont val="Calibri"/>
        <family val="2"/>
        <scheme val="minor"/>
      </rPr>
      <t>Validação de Dados</t>
    </r>
    <r>
      <rPr>
        <sz val="11"/>
        <color theme="1"/>
        <rFont val="Calibri"/>
        <family val="2"/>
        <scheme val="minor"/>
      </rPr>
      <t>" contendo uma lista dos departamentos disponíveis na tabela de Vendas (dica: utilize como base a tabela dinâmica criada nos exercícos antereiores que já dever conter a lista dos departamentos).</t>
    </r>
  </si>
  <si>
    <t>JAN</t>
  </si>
  <si>
    <t>RECEITA</t>
  </si>
  <si>
    <t>DESPESA</t>
  </si>
  <si>
    <t>MÊS</t>
  </si>
  <si>
    <t>FEV</t>
  </si>
  <si>
    <t>MAR</t>
  </si>
  <si>
    <t>ABR</t>
  </si>
  <si>
    <t>MAI</t>
  </si>
  <si>
    <t>JUN</t>
  </si>
  <si>
    <t>VENDA</t>
  </si>
  <si>
    <t>COMISSÃO</t>
  </si>
  <si>
    <t>TABELA DE COMISSÕES</t>
  </si>
  <si>
    <t>DE</t>
  </si>
  <si>
    <t>ATÉ</t>
  </si>
  <si>
    <t>VALOR DO MÊS</t>
  </si>
  <si>
    <t>MESES</t>
  </si>
  <si>
    <t>SELECIONE O MÊS &gt;</t>
  </si>
  <si>
    <r>
      <rPr>
        <b/>
        <sz val="11"/>
        <color theme="1"/>
        <rFont val="Calibri"/>
        <family val="2"/>
        <scheme val="minor"/>
      </rPr>
      <t xml:space="preserve">16) </t>
    </r>
    <r>
      <rPr>
        <sz val="11"/>
        <color theme="1"/>
        <rFont val="Calibri"/>
        <family val="2"/>
        <scheme val="minor"/>
      </rPr>
      <t xml:space="preserve">Crie uma </t>
    </r>
    <r>
      <rPr>
        <b/>
        <sz val="11"/>
        <color theme="1"/>
        <rFont val="Calibri"/>
        <family val="2"/>
        <scheme val="minor"/>
      </rPr>
      <t xml:space="preserve">macro </t>
    </r>
    <r>
      <rPr>
        <sz val="11"/>
        <color theme="1"/>
        <rFont val="Calibri"/>
        <family val="2"/>
        <scheme val="minor"/>
      </rPr>
      <t xml:space="preserve">que </t>
    </r>
    <r>
      <rPr>
        <b/>
        <sz val="11"/>
        <color theme="1"/>
        <rFont val="Calibri"/>
        <family val="2"/>
        <scheme val="minor"/>
      </rPr>
      <t>salve o arquivo atual</t>
    </r>
    <r>
      <rPr>
        <sz val="11"/>
        <color theme="1"/>
        <rFont val="Calibri"/>
        <family val="2"/>
        <scheme val="minor"/>
      </rPr>
      <t xml:space="preserve"> com o mesmo nome e as mesmas configurações atuais, ou seja, a macro deve simplesmente salvar o arquivo. </t>
    </r>
    <r>
      <rPr>
        <b/>
        <sz val="11"/>
        <color theme="1"/>
        <rFont val="Calibri"/>
        <family val="2"/>
        <scheme val="minor"/>
      </rPr>
      <t xml:space="preserve">Nomeie </t>
    </r>
    <r>
      <rPr>
        <sz val="11"/>
        <color theme="1"/>
        <rFont val="Calibri"/>
        <family val="2"/>
        <scheme val="minor"/>
      </rPr>
      <t xml:space="preserve">esta macro como </t>
    </r>
    <r>
      <rPr>
        <b/>
        <sz val="11"/>
        <color theme="1"/>
        <rFont val="Calibri"/>
        <family val="2"/>
        <scheme val="minor"/>
      </rPr>
      <t>"Salvar"</t>
    </r>
    <r>
      <rPr>
        <sz val="11"/>
        <color theme="1"/>
        <rFont val="Calibri"/>
        <family val="2"/>
        <scheme val="minor"/>
      </rPr>
      <t xml:space="preserve"> e atribua o atalho "</t>
    </r>
    <r>
      <rPr>
        <b/>
        <sz val="11"/>
        <color theme="1"/>
        <rFont val="Calibri"/>
        <family val="2"/>
        <scheme val="minor"/>
      </rPr>
      <t>ctrl + shift + a</t>
    </r>
    <r>
      <rPr>
        <sz val="11"/>
        <color theme="1"/>
        <rFont val="Calibri"/>
        <family val="2"/>
        <scheme val="minor"/>
      </rPr>
      <t>"</t>
    </r>
  </si>
  <si>
    <r>
      <rPr>
        <b/>
        <sz val="11"/>
        <color theme="1"/>
        <rFont val="Calibri"/>
        <family val="2"/>
        <scheme val="minor"/>
      </rPr>
      <t xml:space="preserve">17) </t>
    </r>
    <r>
      <rPr>
        <sz val="11"/>
        <color theme="1"/>
        <rFont val="Calibri"/>
        <family val="2"/>
        <scheme val="minor"/>
      </rPr>
      <t xml:space="preserve">Crie um </t>
    </r>
    <r>
      <rPr>
        <b/>
        <sz val="11"/>
        <color theme="1"/>
        <rFont val="Calibri"/>
        <family val="2"/>
        <scheme val="minor"/>
      </rPr>
      <t>botão</t>
    </r>
    <r>
      <rPr>
        <sz val="11"/>
        <color theme="1"/>
        <rFont val="Calibri"/>
        <family val="2"/>
        <scheme val="minor"/>
      </rPr>
      <t xml:space="preserve"> e o atribua a macro "</t>
    </r>
    <r>
      <rPr>
        <b/>
        <sz val="11"/>
        <color theme="1"/>
        <rFont val="Calibri"/>
        <family val="2"/>
        <scheme val="minor"/>
      </rPr>
      <t>Salvar</t>
    </r>
    <r>
      <rPr>
        <sz val="11"/>
        <color theme="1"/>
        <rFont val="Calibri"/>
        <family val="2"/>
        <scheme val="minor"/>
      </rPr>
      <t>" elaborada no exerícios anterior. Obs: crie um botão através de "formas" ou através da guia desenvolvedor. Deixe o botão próximo a célula destacada em amarelo. Inclua a descrição SALVAR no botão.</t>
    </r>
  </si>
  <si>
    <t>-</t>
  </si>
  <si>
    <r>
      <rPr>
        <b/>
        <sz val="11"/>
        <color theme="1"/>
        <rFont val="Calibri"/>
        <family val="2"/>
        <scheme val="minor"/>
      </rPr>
      <t>11)</t>
    </r>
    <r>
      <rPr>
        <sz val="11"/>
        <color theme="1"/>
        <rFont val="Calibri"/>
        <family val="2"/>
        <scheme val="minor"/>
      </rPr>
      <t xml:space="preserve"> Na célula destacada em amarelo, através da fórmula </t>
    </r>
    <r>
      <rPr>
        <b/>
        <sz val="11"/>
        <color theme="1"/>
        <rFont val="Calibri"/>
        <family val="2"/>
        <scheme val="minor"/>
      </rPr>
      <t>SOMASE</t>
    </r>
    <r>
      <rPr>
        <sz val="11"/>
        <color theme="1"/>
        <rFont val="Calibri"/>
        <family val="2"/>
        <scheme val="minor"/>
      </rPr>
      <t xml:space="preserve"> </t>
    </r>
    <r>
      <rPr>
        <b/>
        <i/>
        <sz val="8"/>
        <color theme="1"/>
        <rFont val="Calibri"/>
        <family val="2"/>
        <scheme val="minor"/>
      </rPr>
      <t>(SUMIF)</t>
    </r>
    <r>
      <rPr>
        <sz val="11"/>
        <color theme="1"/>
        <rFont val="Calibri"/>
        <family val="2"/>
        <scheme val="minor"/>
      </rPr>
      <t>, some os "Valores Totais" do departamento descrito ná célula vermelha abaixo:</t>
    </r>
  </si>
  <si>
    <r>
      <rPr>
        <b/>
        <sz val="11"/>
        <color theme="1"/>
        <rFont val="Calibri"/>
        <family val="2"/>
        <scheme val="minor"/>
      </rPr>
      <t>14)</t>
    </r>
    <r>
      <rPr>
        <sz val="11"/>
        <color theme="1"/>
        <rFont val="Calibri"/>
        <family val="2"/>
        <scheme val="minor"/>
      </rPr>
      <t xml:space="preserve"> Utilizando a fórmula </t>
    </r>
    <r>
      <rPr>
        <b/>
        <sz val="11"/>
        <color theme="1"/>
        <rFont val="Calibri"/>
        <family val="2"/>
        <scheme val="minor"/>
      </rPr>
      <t xml:space="preserve">PROCV </t>
    </r>
    <r>
      <rPr>
        <b/>
        <i/>
        <sz val="8"/>
        <color theme="1"/>
        <rFont val="Calibri"/>
        <family val="2"/>
        <scheme val="minor"/>
      </rPr>
      <t>(VLOOKUP)</t>
    </r>
    <r>
      <rPr>
        <b/>
        <sz val="11"/>
        <color theme="1"/>
        <rFont val="Calibri"/>
        <family val="2"/>
        <scheme val="minor"/>
      </rPr>
      <t xml:space="preserve">, </t>
    </r>
    <r>
      <rPr>
        <sz val="11"/>
        <color theme="1"/>
        <rFont val="Calibri"/>
        <family val="2"/>
        <scheme val="minor"/>
      </rPr>
      <t>nas células amarelas, encontre a comissão de cada valor de venda com base na tabela de comissões à direita.</t>
    </r>
  </si>
  <si>
    <r>
      <rPr>
        <b/>
        <sz val="11"/>
        <color theme="1"/>
        <rFont val="Calibri"/>
        <family val="2"/>
        <scheme val="minor"/>
      </rPr>
      <t>2)</t>
    </r>
    <r>
      <rPr>
        <sz val="11"/>
        <color theme="1"/>
        <rFont val="Calibri"/>
        <family val="2"/>
        <scheme val="minor"/>
      </rPr>
      <t xml:space="preserve"> A "</t>
    </r>
    <r>
      <rPr>
        <b/>
        <sz val="11"/>
        <color theme="1"/>
        <rFont val="Calibri"/>
        <family val="2"/>
        <scheme val="minor"/>
      </rPr>
      <t>TABELA DE VENDAS</t>
    </r>
    <r>
      <rPr>
        <sz val="11"/>
        <color theme="1"/>
        <rFont val="Calibri"/>
        <family val="2"/>
        <scheme val="minor"/>
      </rPr>
      <t>" possui algumas colunas em branco que deverão ser preenchidas com fórmulas. Encontre a melhor fórmula para preencher as colunas "</t>
    </r>
    <r>
      <rPr>
        <b/>
        <sz val="11"/>
        <color theme="1"/>
        <rFont val="Calibri"/>
        <family val="2"/>
        <scheme val="minor"/>
      </rPr>
      <t>DESCRIÇÃO</t>
    </r>
    <r>
      <rPr>
        <sz val="11"/>
        <color theme="1"/>
        <rFont val="Calibri"/>
        <family val="2"/>
        <scheme val="minor"/>
      </rPr>
      <t>", "</t>
    </r>
    <r>
      <rPr>
        <b/>
        <sz val="11"/>
        <color theme="1"/>
        <rFont val="Calibri"/>
        <family val="2"/>
        <scheme val="minor"/>
      </rPr>
      <t>DEPARTAMENTO</t>
    </r>
    <r>
      <rPr>
        <sz val="11"/>
        <color theme="1"/>
        <rFont val="Calibri"/>
        <family val="2"/>
        <scheme val="minor"/>
      </rPr>
      <t>" E "</t>
    </r>
    <r>
      <rPr>
        <b/>
        <sz val="11"/>
        <color theme="1"/>
        <rFont val="Calibri"/>
        <family val="2"/>
        <scheme val="minor"/>
      </rPr>
      <t>VALOR UNITÁRIO</t>
    </r>
    <r>
      <rPr>
        <sz val="11"/>
        <color theme="1"/>
        <rFont val="Calibri"/>
        <family val="2"/>
        <scheme val="minor"/>
      </rPr>
      <t>", com base na tabela "</t>
    </r>
    <r>
      <rPr>
        <b/>
        <sz val="11"/>
        <color theme="1"/>
        <rFont val="Calibri"/>
        <family val="2"/>
        <scheme val="minor"/>
      </rPr>
      <t>CADASTRO DE PRODUTOS</t>
    </r>
    <r>
      <rPr>
        <sz val="11"/>
        <color theme="1"/>
        <rFont val="Calibri"/>
        <family val="2"/>
        <scheme val="minor"/>
      </rPr>
      <t>".</t>
    </r>
  </si>
  <si>
    <r>
      <rPr>
        <b/>
        <sz val="11"/>
        <color theme="1"/>
        <rFont val="Calibri"/>
        <family val="2"/>
        <scheme val="minor"/>
      </rPr>
      <t>3)</t>
    </r>
    <r>
      <rPr>
        <sz val="11"/>
        <color theme="1"/>
        <rFont val="Calibri"/>
        <family val="2"/>
        <scheme val="minor"/>
      </rPr>
      <t xml:space="preserve"> Na "</t>
    </r>
    <r>
      <rPr>
        <b/>
        <sz val="11"/>
        <color theme="1"/>
        <rFont val="Calibri"/>
        <family val="2"/>
        <scheme val="minor"/>
      </rPr>
      <t>TABELA DE VENDAS</t>
    </r>
    <r>
      <rPr>
        <sz val="11"/>
        <color theme="1"/>
        <rFont val="Calibri"/>
        <family val="2"/>
        <scheme val="minor"/>
      </rPr>
      <t>", a coluna "</t>
    </r>
    <r>
      <rPr>
        <b/>
        <sz val="11"/>
        <color theme="1"/>
        <rFont val="Calibri"/>
        <family val="2"/>
        <scheme val="minor"/>
      </rPr>
      <t>META VALOR TOTAL</t>
    </r>
    <r>
      <rPr>
        <sz val="11"/>
        <color theme="1"/>
        <rFont val="Calibri"/>
        <family val="2"/>
        <scheme val="minor"/>
      </rPr>
      <t xml:space="preserve">" deve ser preenchida com uma fórmula que seja </t>
    </r>
    <r>
      <rPr>
        <sz val="11"/>
        <color theme="1"/>
        <rFont val="Calibri"/>
        <family val="2"/>
        <scheme val="minor"/>
      </rPr>
      <t xml:space="preserve">capaz de classificar as vendas que atigiram ou não atingiram a meta do mês, sendo que para cada produto, a meta é ter como valor total </t>
    </r>
    <r>
      <rPr>
        <b/>
        <sz val="11"/>
        <color theme="1"/>
        <rFont val="Calibri"/>
        <family val="2"/>
        <scheme val="minor"/>
      </rPr>
      <t xml:space="preserve">R$500,00 </t>
    </r>
    <r>
      <rPr>
        <sz val="11"/>
        <color theme="1"/>
        <rFont val="Calibri"/>
        <family val="2"/>
        <scheme val="minor"/>
      </rPr>
      <t>no mês. Classifique cada uma das vendas como "</t>
    </r>
    <r>
      <rPr>
        <b/>
        <sz val="11"/>
        <color theme="1"/>
        <rFont val="Calibri"/>
        <family val="2"/>
        <scheme val="minor"/>
      </rPr>
      <t>Meta Atingida</t>
    </r>
    <r>
      <rPr>
        <sz val="11"/>
        <color theme="1"/>
        <rFont val="Calibri"/>
        <family val="2"/>
        <scheme val="minor"/>
      </rPr>
      <t>" e "</t>
    </r>
    <r>
      <rPr>
        <b/>
        <sz val="11"/>
        <color theme="1"/>
        <rFont val="Calibri"/>
        <family val="2"/>
        <scheme val="minor"/>
      </rPr>
      <t>Meta não Atingida</t>
    </r>
    <r>
      <rPr>
        <sz val="11"/>
        <color theme="1"/>
        <rFont val="Calibri"/>
        <family val="2"/>
        <scheme val="minor"/>
      </rPr>
      <t>".</t>
    </r>
  </si>
  <si>
    <r>
      <rPr>
        <b/>
        <sz val="11"/>
        <color theme="1"/>
        <rFont val="Calibri"/>
        <family val="2"/>
        <scheme val="minor"/>
      </rPr>
      <t>9)</t>
    </r>
    <r>
      <rPr>
        <sz val="11"/>
        <color theme="1"/>
        <rFont val="Calibri"/>
        <family val="2"/>
        <scheme val="minor"/>
      </rPr>
      <t xml:space="preserve"> Na tabela dinâmica elaborada no exercício 8, adicione uma "</t>
    </r>
    <r>
      <rPr>
        <b/>
        <sz val="11"/>
        <color theme="1"/>
        <rFont val="Calibri"/>
        <family val="2"/>
        <scheme val="minor"/>
      </rPr>
      <t>Segmentação de Dados</t>
    </r>
    <r>
      <rPr>
        <sz val="11"/>
        <color theme="1"/>
        <rFont val="Calibri"/>
        <family val="2"/>
        <scheme val="minor"/>
      </rPr>
      <t>" por "</t>
    </r>
    <r>
      <rPr>
        <b/>
        <sz val="11"/>
        <color theme="1"/>
        <rFont val="Calibri"/>
        <family val="2"/>
        <scheme val="minor"/>
      </rPr>
      <t>META POR VALOR TOTAL</t>
    </r>
    <r>
      <rPr>
        <sz val="11"/>
        <color theme="1"/>
        <rFont val="Calibri"/>
        <family val="2"/>
        <scheme val="minor"/>
      </rPr>
      <t>". Deixe selecionado "</t>
    </r>
    <r>
      <rPr>
        <b/>
        <sz val="11"/>
        <color theme="1"/>
        <rFont val="Calibri"/>
        <family val="2"/>
        <scheme val="minor"/>
      </rPr>
      <t>Meta Atingida</t>
    </r>
    <r>
      <rPr>
        <sz val="11"/>
        <color theme="1"/>
        <rFont val="Calibri"/>
        <family val="2"/>
        <scheme val="minor"/>
      </rPr>
      <t>".</t>
    </r>
  </si>
  <si>
    <r>
      <rPr>
        <b/>
        <sz val="11"/>
        <color theme="1"/>
        <rFont val="Calibri"/>
        <family val="2"/>
        <scheme val="minor"/>
      </rPr>
      <t>8)</t>
    </r>
    <r>
      <rPr>
        <sz val="11"/>
        <color theme="1"/>
        <rFont val="Calibri"/>
        <family val="2"/>
        <scheme val="minor"/>
      </rPr>
      <t xml:space="preserve"> Com base na "</t>
    </r>
    <r>
      <rPr>
        <b/>
        <sz val="11"/>
        <color theme="1"/>
        <rFont val="Calibri"/>
        <family val="2"/>
        <scheme val="minor"/>
      </rPr>
      <t>TABELA DE VENDAS</t>
    </r>
    <r>
      <rPr>
        <sz val="11"/>
        <color theme="1"/>
        <rFont val="Calibri"/>
        <family val="2"/>
        <scheme val="minor"/>
      </rPr>
      <t>", crie uma nova tabela dinâmica que exiba 2 campos em "</t>
    </r>
    <r>
      <rPr>
        <b/>
        <sz val="11"/>
        <color theme="1"/>
        <rFont val="Calibri"/>
        <family val="2"/>
        <scheme val="minor"/>
      </rPr>
      <t>Valores</t>
    </r>
    <r>
      <rPr>
        <sz val="11"/>
        <color theme="1"/>
        <rFont val="Calibri"/>
        <family val="2"/>
        <scheme val="minor"/>
      </rPr>
      <t xml:space="preserve">", sendo o primeiro a </t>
    </r>
    <r>
      <rPr>
        <b/>
        <sz val="11"/>
        <color theme="1"/>
        <rFont val="Calibri"/>
        <family val="2"/>
        <scheme val="minor"/>
      </rPr>
      <t xml:space="preserve">soma </t>
    </r>
    <r>
      <rPr>
        <sz val="11"/>
        <color theme="1"/>
        <rFont val="Calibri"/>
        <family val="2"/>
        <scheme val="minor"/>
      </rPr>
      <t>do "</t>
    </r>
    <r>
      <rPr>
        <b/>
        <sz val="11"/>
        <color theme="1"/>
        <rFont val="Calibri"/>
        <family val="2"/>
        <scheme val="minor"/>
      </rPr>
      <t>VALOR TOTAL</t>
    </r>
    <r>
      <rPr>
        <sz val="11"/>
        <color theme="1"/>
        <rFont val="Calibri"/>
        <family val="2"/>
        <scheme val="minor"/>
      </rPr>
      <t>" e o segundo distribuição em porcentagem do mesmo campo "</t>
    </r>
    <r>
      <rPr>
        <b/>
        <sz val="11"/>
        <color theme="1"/>
        <rFont val="Calibri"/>
        <family val="2"/>
        <scheme val="minor"/>
      </rPr>
      <t>VALOR TOTAL" (% do total)</t>
    </r>
    <r>
      <rPr>
        <sz val="11"/>
        <color theme="1"/>
        <rFont val="Calibri"/>
        <family val="2"/>
        <scheme val="minor"/>
      </rPr>
      <t>, separando os resultados por departamento.</t>
    </r>
  </si>
  <si>
    <r>
      <rPr>
        <b/>
        <sz val="11"/>
        <color theme="1"/>
        <rFont val="Calibri"/>
        <family val="2"/>
        <scheme val="minor"/>
      </rPr>
      <t>19)</t>
    </r>
    <r>
      <rPr>
        <sz val="11"/>
        <color theme="1"/>
        <rFont val="Calibri"/>
        <family val="2"/>
        <scheme val="minor"/>
      </rPr>
      <t xml:space="preserve"> Dentro do VBA, crie uma estrutura de repetição (</t>
    </r>
    <r>
      <rPr>
        <b/>
        <sz val="11"/>
        <color theme="1"/>
        <rFont val="Calibri"/>
        <family val="2"/>
        <scheme val="minor"/>
      </rPr>
      <t>loop ou for next</t>
    </r>
    <r>
      <rPr>
        <sz val="11"/>
        <color theme="1"/>
        <rFont val="Calibri"/>
        <family val="2"/>
        <scheme val="minor"/>
      </rPr>
      <t>) que ao ser executado uma única vez, inicie uma contagem de 0 a 100 e informe esta contagem na célula célula amarela destacada abaixo. Ou seja, ao executar o código uma vez devemos ver rapidamente a célula amarela receber a contagem de 0 a 100. Atribua um botão com a descrição "Contar"  para executar a macro.</t>
    </r>
  </si>
  <si>
    <r>
      <rPr>
        <b/>
        <sz val="11"/>
        <color theme="1"/>
        <rFont val="Calibri"/>
        <family val="2"/>
        <scheme val="minor"/>
      </rPr>
      <t>18)</t>
    </r>
    <r>
      <rPr>
        <sz val="11"/>
        <color theme="1"/>
        <rFont val="Calibri"/>
        <family val="2"/>
        <scheme val="minor"/>
      </rPr>
      <t xml:space="preserve"> Edite a macro "</t>
    </r>
    <r>
      <rPr>
        <b/>
        <sz val="11"/>
        <color theme="1"/>
        <rFont val="Calibri"/>
        <family val="2"/>
        <scheme val="minor"/>
      </rPr>
      <t>Salvar</t>
    </r>
    <r>
      <rPr>
        <sz val="11"/>
        <color theme="1"/>
        <rFont val="Calibri"/>
        <family val="2"/>
        <scheme val="minor"/>
      </rPr>
      <t>" elaborada no exercício 16, adicionando uma condição "</t>
    </r>
    <r>
      <rPr>
        <b/>
        <sz val="11"/>
        <color theme="1"/>
        <rFont val="Calibri"/>
        <family val="2"/>
        <scheme val="minor"/>
      </rPr>
      <t>if</t>
    </r>
    <r>
      <rPr>
        <sz val="11"/>
        <color theme="1"/>
        <rFont val="Calibri"/>
        <family val="2"/>
        <scheme val="minor"/>
      </rPr>
      <t>" no início do código. Esta condição deve perguntar ao o usuário se ele "</t>
    </r>
    <r>
      <rPr>
        <b/>
        <sz val="11"/>
        <color theme="1"/>
        <rFont val="Calibri"/>
        <family val="2"/>
        <scheme val="minor"/>
      </rPr>
      <t>Deseja salvar o arquivo?</t>
    </r>
    <r>
      <rPr>
        <sz val="11"/>
        <color theme="1"/>
        <rFont val="Calibri"/>
        <family val="2"/>
        <scheme val="minor"/>
      </rPr>
      <t>". Se clicar em "</t>
    </r>
    <r>
      <rPr>
        <b/>
        <sz val="11"/>
        <color theme="1"/>
        <rFont val="Calibri"/>
        <family val="2"/>
        <scheme val="minor"/>
      </rPr>
      <t>não</t>
    </r>
    <r>
      <rPr>
        <sz val="11"/>
        <color theme="1"/>
        <rFont val="Calibri"/>
        <family val="2"/>
        <scheme val="minor"/>
      </rPr>
      <t>", a macro não deve ser continuada e uma mensagem deve ser informada "</t>
    </r>
    <r>
      <rPr>
        <b/>
        <sz val="11"/>
        <color theme="1"/>
        <rFont val="Calibri"/>
        <family val="2"/>
        <scheme val="minor"/>
      </rPr>
      <t>Arquivo não Salvo</t>
    </r>
    <r>
      <rPr>
        <sz val="11"/>
        <color theme="1"/>
        <rFont val="Calibri"/>
        <family val="2"/>
        <scheme val="minor"/>
      </rPr>
      <t>", caso o usuário tenha clicado em "</t>
    </r>
    <r>
      <rPr>
        <b/>
        <sz val="11"/>
        <color theme="1"/>
        <rFont val="Calibri"/>
        <family val="2"/>
        <scheme val="minor"/>
      </rPr>
      <t>Sim</t>
    </r>
    <r>
      <rPr>
        <sz val="11"/>
        <color theme="1"/>
        <rFont val="Calibri"/>
        <family val="2"/>
        <scheme val="minor"/>
      </rPr>
      <t>", o arquivo deve ser salvo normalmente e uma mensagem deve ser informada: "</t>
    </r>
    <r>
      <rPr>
        <b/>
        <sz val="11"/>
        <color theme="1"/>
        <rFont val="Calibri"/>
        <family val="2"/>
        <scheme val="minor"/>
      </rPr>
      <t>Arquivo salvo com sucesso</t>
    </r>
    <r>
      <rPr>
        <sz val="11"/>
        <color theme="1"/>
        <rFont val="Calibri"/>
        <family val="2"/>
        <scheme val="minor"/>
      </rPr>
      <t>".</t>
    </r>
  </si>
  <si>
    <t>Caio lima</t>
  </si>
  <si>
    <t xml:space="preserve">obs. Mesclar através </t>
  </si>
  <si>
    <t>Total Geral</t>
  </si>
  <si>
    <t>Soma de QTDE VENDIDA</t>
  </si>
  <si>
    <t>Departamento</t>
  </si>
  <si>
    <t>%</t>
  </si>
  <si>
    <t>Soma de comissão</t>
  </si>
  <si>
    <r>
      <rPr>
        <b/>
        <sz val="11"/>
        <color theme="1"/>
        <rFont val="Calibri"/>
        <family val="2"/>
        <scheme val="minor"/>
      </rPr>
      <t>13)</t>
    </r>
    <r>
      <rPr>
        <sz val="11"/>
        <color theme="1"/>
        <rFont val="Calibri"/>
        <family val="2"/>
        <scheme val="minor"/>
      </rPr>
      <t xml:space="preserve"> Utilizando as fórmulas </t>
    </r>
    <r>
      <rPr>
        <b/>
        <sz val="11"/>
        <color theme="1"/>
        <rFont val="Calibri"/>
        <family val="2"/>
        <scheme val="minor"/>
      </rPr>
      <t xml:space="preserve">ÍNDICE </t>
    </r>
    <r>
      <rPr>
        <b/>
        <i/>
        <sz val="8"/>
        <color theme="1"/>
        <rFont val="Calibri"/>
        <family val="2"/>
        <scheme val="minor"/>
      </rPr>
      <t>(INDEX)</t>
    </r>
    <r>
      <rPr>
        <sz val="11"/>
        <color theme="1"/>
        <rFont val="Calibri"/>
        <family val="2"/>
        <scheme val="minor"/>
      </rPr>
      <t xml:space="preserve">  - (se vc me der uma matriz e um número ele fala qual é o elemento)e </t>
    </r>
    <r>
      <rPr>
        <b/>
        <sz val="11"/>
        <color theme="1"/>
        <rFont val="Calibri"/>
        <family val="2"/>
        <scheme val="minor"/>
      </rPr>
      <t xml:space="preserve">CORRESP </t>
    </r>
    <r>
      <rPr>
        <b/>
        <i/>
        <sz val="8"/>
        <color theme="1"/>
        <rFont val="Calibri"/>
        <family val="2"/>
        <scheme val="minor"/>
      </rPr>
      <t>(MATCH)</t>
    </r>
    <r>
      <rPr>
        <sz val="11"/>
        <color theme="1"/>
        <rFont val="Calibri"/>
        <family val="2"/>
        <scheme val="minor"/>
      </rPr>
      <t>, nas células destacadas em amarelo na tabela da esquerda, encontre a receita de cada mês, com base na tabela da direita.</t>
    </r>
  </si>
  <si>
    <r>
      <rPr>
        <b/>
        <sz val="11"/>
        <color theme="1"/>
        <rFont val="Calibri"/>
        <family val="2"/>
        <scheme val="minor"/>
      </rPr>
      <t>15)</t>
    </r>
    <r>
      <rPr>
        <sz val="11"/>
        <color theme="1"/>
        <rFont val="Calibri"/>
        <family val="2"/>
        <scheme val="minor"/>
      </rPr>
      <t xml:space="preserve"> Utilizando a fórmula </t>
    </r>
    <r>
      <rPr>
        <b/>
        <sz val="11"/>
        <color theme="1"/>
        <rFont val="Calibri"/>
        <family val="2"/>
        <scheme val="minor"/>
      </rPr>
      <t>SOMA</t>
    </r>
    <r>
      <rPr>
        <sz val="11"/>
        <color theme="1"/>
        <rFont val="Calibri"/>
        <family val="2"/>
        <scheme val="minor"/>
      </rPr>
      <t xml:space="preserve"> e a fórmula </t>
    </r>
    <r>
      <rPr>
        <b/>
        <sz val="11"/>
        <color theme="1"/>
        <rFont val="Calibri"/>
        <family val="2"/>
        <scheme val="minor"/>
      </rPr>
      <t xml:space="preserve">DESLOC </t>
    </r>
    <r>
      <rPr>
        <sz val="11"/>
        <color theme="1"/>
        <rFont val="Calibri"/>
        <family val="2"/>
        <scheme val="minor"/>
      </rPr>
      <t xml:space="preserve">(para montar um intervalo dinâmico), encontre o valor da soma dos meses da tabela da direita, conforme a alteração no botão. Ou seja, se estiver selecionado mês 1, o valor da soma deve ser </t>
    </r>
    <r>
      <rPr>
        <b/>
        <sz val="11"/>
        <color theme="1"/>
        <rFont val="Calibri"/>
        <family val="2"/>
        <scheme val="minor"/>
      </rPr>
      <t>25.521</t>
    </r>
    <r>
      <rPr>
        <sz val="11"/>
        <color theme="1"/>
        <rFont val="Calibri"/>
        <family val="2"/>
        <scheme val="minor"/>
      </rPr>
      <t>, se estiver mês 2, o valor da soma de ve ser</t>
    </r>
    <r>
      <rPr>
        <b/>
        <sz val="11"/>
        <color theme="1"/>
        <rFont val="Calibri"/>
        <family val="2"/>
        <scheme val="minor"/>
      </rPr>
      <t xml:space="preserve"> 24.091</t>
    </r>
    <r>
      <rPr>
        <sz val="11"/>
        <color theme="1"/>
        <rFont val="Calibri"/>
        <family val="2"/>
        <scheme val="minor"/>
      </rPr>
      <t xml:space="preserve"> e assim sucessivamente.</t>
    </r>
  </si>
  <si>
    <t>ponto de partida</t>
  </si>
  <si>
    <t>a altura é a quantidade de linhas na tabela</t>
  </si>
  <si>
    <t>OBS.: '=SOMA(DESLOC(D78;0;0;4;B81)) d78 é a referencia, o primeiro 0 será o quanto irá deslocar (linhas em neg. ele sobe),</t>
  </si>
  <si>
    <t xml:space="preserve">o segundo 0 pode ser a coluna a se considerar ou será o quanto ele se desloca  </t>
  </si>
  <si>
    <t xml:space="preserve">a largura = segundo "0", pode ser a coluna a se considerar ou será o quanto ele se desloca  </t>
  </si>
  <si>
    <t>temos o msgbox e imputbox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</si>
</sst>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0.0%"/>
    <numFmt numFmtId="165" formatCode="[$-416]mmmm\-yy;@"/>
    <numFmt numFmtId="166" formatCode="_-* #,##0_-;\-* #,##0_-;_-* &quot;-&quot;??_-;_-@_-"/>
    <numFmt numFmtId="167" formatCode="#,##0.00_ ;\-#,##0.00\ "/>
  </numFmts>
  <fonts count="2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6"/>
      <color rgb="FF002060"/>
      <name val="Calibri"/>
      <family val="2"/>
      <scheme val="minor"/>
    </font>
    <font>
      <sz val="2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FF0000"/>
      <name val="Calibri"/>
      <family val="2"/>
      <scheme val="minor"/>
    </font>
    <font>
      <sz val="11"/>
      <color theme="1"/>
      <name val="Calibri"/>
      <family val="2"/>
    </font>
    <font>
      <i/>
      <sz val="11"/>
      <color theme="1"/>
      <name val="Calibri"/>
      <family val="2"/>
    </font>
    <font>
      <b/>
      <sz val="1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6"/>
      <color rgb="FFFF0000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6"/>
      <name val="Calibri"/>
      <family val="2"/>
      <scheme val="minor"/>
    </font>
    <font>
      <b/>
      <i/>
      <sz val="8"/>
      <color theme="1"/>
      <name val="Calibri"/>
      <family val="2"/>
      <scheme val="minor"/>
    </font>
    <font>
      <sz val="11"/>
      <color rgb="FF000000"/>
      <name val="Calibri"/>
      <family val="2"/>
    </font>
  </fonts>
  <fills count="2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6"/>
        <bgColor theme="6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gradientFill>
        <stop position="0">
          <color theme="0"/>
        </stop>
        <stop position="0.5">
          <color theme="0" tint="-0.25098422193060094"/>
        </stop>
        <stop position="1">
          <color theme="0"/>
        </stop>
      </gradientFill>
    </fill>
    <fill>
      <gradientFill>
        <stop position="0">
          <color theme="0"/>
        </stop>
        <stop position="0.5">
          <color theme="3" tint="0.80001220740379042"/>
        </stop>
        <stop position="1">
          <color theme="0"/>
        </stop>
      </gradientFill>
    </fill>
    <fill>
      <patternFill patternType="solid">
        <fgColor theme="0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92D050"/>
        <bgColor indexed="64"/>
      </patternFill>
    </fill>
  </fills>
  <borders count="3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5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20" fillId="0" borderId="0" applyNumberFormat="0" applyFill="0" applyBorder="0" applyAlignment="0" applyProtection="0"/>
  </cellStyleXfs>
  <cellXfs count="199">
    <xf numFmtId="0" fontId="0" fillId="0" borderId="0" xfId="0"/>
    <xf numFmtId="0" fontId="5" fillId="0" borderId="0" xfId="0" applyFont="1" applyAlignment="1">
      <alignment wrapText="1"/>
    </xf>
    <xf numFmtId="0" fontId="6" fillId="0" borderId="0" xfId="0" applyFont="1" applyAlignment="1">
      <alignment vertical="center" wrapText="1"/>
    </xf>
    <xf numFmtId="0" fontId="2" fillId="0" borderId="0" xfId="0" applyFont="1" applyAlignment="1">
      <alignment vertical="center"/>
    </xf>
    <xf numFmtId="0" fontId="7" fillId="0" borderId="0" xfId="0" applyFont="1" applyAlignment="1">
      <alignment wrapText="1"/>
    </xf>
    <xf numFmtId="0" fontId="8" fillId="0" borderId="0" xfId="0" applyFont="1"/>
    <xf numFmtId="0" fontId="0" fillId="0" borderId="3" xfId="0" applyBorder="1"/>
    <xf numFmtId="0" fontId="0" fillId="0" borderId="3" xfId="1" applyNumberFormat="1" applyFont="1" applyBorder="1"/>
    <xf numFmtId="44" fontId="0" fillId="0" borderId="3" xfId="0" applyNumberFormat="1" applyBorder="1"/>
    <xf numFmtId="0" fontId="2" fillId="0" borderId="3" xfId="0" applyFont="1" applyBorder="1"/>
    <xf numFmtId="0" fontId="0" fillId="0" borderId="0" xfId="0" applyBorder="1"/>
    <xf numFmtId="0" fontId="0" fillId="0" borderId="0" xfId="0" applyFill="1" applyBorder="1"/>
    <xf numFmtId="0" fontId="2" fillId="0" borderId="9" xfId="0" applyFont="1" applyBorder="1"/>
    <xf numFmtId="0" fontId="2" fillId="0" borderId="10" xfId="0" applyFont="1" applyBorder="1"/>
    <xf numFmtId="0" fontId="0" fillId="0" borderId="9" xfId="0" applyBorder="1"/>
    <xf numFmtId="0" fontId="0" fillId="0" borderId="0" xfId="0" applyAlignment="1">
      <alignment vertical="top" wrapText="1"/>
    </xf>
    <xf numFmtId="0" fontId="2" fillId="0" borderId="0" xfId="0" applyFont="1" applyAlignment="1">
      <alignment horizontal="left" vertical="top" wrapText="1"/>
    </xf>
    <xf numFmtId="0" fontId="2" fillId="0" borderId="3" xfId="0" applyFont="1" applyBorder="1" applyAlignment="1">
      <alignment horizontal="left" vertical="top" wrapText="1"/>
    </xf>
    <xf numFmtId="0" fontId="0" fillId="5" borderId="0" xfId="0" applyFill="1"/>
    <xf numFmtId="0" fontId="0" fillId="0" borderId="11" xfId="0" applyBorder="1" applyAlignment="1">
      <alignment horizontal="left" vertical="top" wrapText="1"/>
    </xf>
    <xf numFmtId="0" fontId="0" fillId="0" borderId="11" xfId="0" applyBorder="1"/>
    <xf numFmtId="0" fontId="0" fillId="0" borderId="11" xfId="0" applyBorder="1" applyAlignment="1">
      <alignment vertical="top" wrapText="1"/>
    </xf>
    <xf numFmtId="0" fontId="2" fillId="0" borderId="11" xfId="0" applyFont="1" applyBorder="1" applyAlignment="1">
      <alignment horizontal="left" vertical="top" wrapText="1"/>
    </xf>
    <xf numFmtId="0" fontId="3" fillId="0" borderId="11" xfId="0" applyFont="1" applyBorder="1"/>
    <xf numFmtId="0" fontId="0" fillId="5" borderId="0" xfId="0" applyFill="1" applyProtection="1">
      <protection locked="0"/>
    </xf>
    <xf numFmtId="0" fontId="10" fillId="0" borderId="0" xfId="0" applyFont="1" applyAlignment="1">
      <alignment horizontal="center"/>
    </xf>
    <xf numFmtId="0" fontId="12" fillId="0" borderId="0" xfId="0" applyFont="1"/>
    <xf numFmtId="0" fontId="0" fillId="0" borderId="0" xfId="0" applyAlignment="1">
      <alignment wrapText="1"/>
    </xf>
    <xf numFmtId="0" fontId="2" fillId="0" borderId="0" xfId="0" applyFont="1" applyAlignment="1">
      <alignment horizontal="left" vertical="top" wrapText="1"/>
    </xf>
    <xf numFmtId="0" fontId="0" fillId="0" borderId="1" xfId="0" applyBorder="1"/>
    <xf numFmtId="0" fontId="0" fillId="0" borderId="0" xfId="0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3" fillId="0" borderId="0" xfId="0" applyFont="1" applyBorder="1"/>
    <xf numFmtId="0" fontId="3" fillId="0" borderId="0" xfId="0" applyFont="1" applyBorder="1" applyAlignment="1">
      <alignment horizontal="left" indent="2"/>
    </xf>
    <xf numFmtId="0" fontId="0" fillId="0" borderId="1" xfId="0" applyBorder="1" applyAlignment="1">
      <alignment horizontal="left" indent="2"/>
    </xf>
    <xf numFmtId="0" fontId="0" fillId="0" borderId="2" xfId="0" applyBorder="1" applyAlignment="1">
      <alignment horizontal="left" indent="2"/>
    </xf>
    <xf numFmtId="0" fontId="0" fillId="0" borderId="2" xfId="0" applyBorder="1"/>
    <xf numFmtId="0" fontId="0" fillId="0" borderId="11" xfId="0" applyBorder="1" applyAlignment="1">
      <alignment horizontal="left" indent="2"/>
    </xf>
    <xf numFmtId="0" fontId="0" fillId="5" borderId="1" xfId="0" applyFill="1" applyBorder="1" applyProtection="1">
      <protection locked="0"/>
    </xf>
    <xf numFmtId="0" fontId="0" fillId="5" borderId="2" xfId="0" applyFill="1" applyBorder="1" applyProtection="1">
      <protection locked="0"/>
    </xf>
    <xf numFmtId="0" fontId="0" fillId="5" borderId="11" xfId="0" applyFill="1" applyBorder="1" applyProtection="1">
      <protection locked="0"/>
    </xf>
    <xf numFmtId="0" fontId="0" fillId="0" borderId="0" xfId="0" applyAlignment="1"/>
    <xf numFmtId="0" fontId="9" fillId="0" borderId="15" xfId="0" applyFont="1" applyBorder="1" applyAlignment="1">
      <alignment horizontal="left" indent="2"/>
    </xf>
    <xf numFmtId="0" fontId="0" fillId="0" borderId="15" xfId="0" applyBorder="1"/>
    <xf numFmtId="0" fontId="0" fillId="5" borderId="15" xfId="0" applyFill="1" applyBorder="1"/>
    <xf numFmtId="0" fontId="9" fillId="0" borderId="16" xfId="0" applyFont="1" applyBorder="1" applyAlignment="1">
      <alignment horizontal="left" indent="2"/>
    </xf>
    <xf numFmtId="0" fontId="0" fillId="0" borderId="16" xfId="0" applyBorder="1"/>
    <xf numFmtId="0" fontId="0" fillId="5" borderId="16" xfId="0" applyFill="1" applyBorder="1"/>
    <xf numFmtId="0" fontId="9" fillId="0" borderId="17" xfId="0" applyFont="1" applyBorder="1" applyAlignment="1">
      <alignment horizontal="left" indent="2"/>
    </xf>
    <xf numFmtId="0" fontId="0" fillId="0" borderId="17" xfId="0" applyBorder="1"/>
    <xf numFmtId="0" fontId="0" fillId="5" borderId="17" xfId="0" applyFill="1" applyBorder="1"/>
    <xf numFmtId="0" fontId="2" fillId="0" borderId="1" xfId="0" applyFont="1" applyBorder="1" applyAlignment="1">
      <alignment vertical="top" wrapText="1"/>
    </xf>
    <xf numFmtId="0" fontId="2" fillId="6" borderId="3" xfId="0" applyFont="1" applyFill="1" applyBorder="1" applyAlignment="1">
      <alignment horizontal="left" vertical="top" wrapText="1"/>
    </xf>
    <xf numFmtId="0" fontId="2" fillId="0" borderId="0" xfId="0" applyFont="1" applyBorder="1" applyAlignment="1">
      <alignment vertical="top" wrapText="1"/>
    </xf>
    <xf numFmtId="0" fontId="2" fillId="0" borderId="11" xfId="0" applyFont="1" applyBorder="1" applyAlignment="1">
      <alignment vertical="top" wrapText="1"/>
    </xf>
    <xf numFmtId="0" fontId="0" fillId="0" borderId="3" xfId="0" applyBorder="1" applyAlignment="1">
      <alignment wrapText="1"/>
    </xf>
    <xf numFmtId="10" fontId="0" fillId="2" borderId="3" xfId="2" applyNumberFormat="1" applyFont="1" applyFill="1" applyBorder="1" applyAlignment="1">
      <alignment wrapText="1"/>
    </xf>
    <xf numFmtId="0" fontId="2" fillId="5" borderId="3" xfId="0" applyFont="1" applyFill="1" applyBorder="1" applyAlignment="1">
      <alignment horizontal="center" vertical="top" wrapText="1"/>
    </xf>
    <xf numFmtId="0" fontId="2" fillId="5" borderId="3" xfId="0" applyFont="1" applyFill="1" applyBorder="1" applyAlignment="1">
      <alignment horizontal="center" vertical="center" wrapText="1"/>
    </xf>
    <xf numFmtId="166" fontId="0" fillId="0" borderId="3" xfId="3" applyNumberFormat="1" applyFont="1" applyBorder="1" applyAlignment="1">
      <alignment wrapText="1"/>
    </xf>
    <xf numFmtId="0" fontId="17" fillId="10" borderId="4" xfId="0" applyFont="1" applyFill="1" applyBorder="1" applyAlignment="1">
      <alignment horizontal="center" vertical="center" wrapText="1"/>
    </xf>
    <xf numFmtId="0" fontId="17" fillId="10" borderId="2" xfId="0" applyFont="1" applyFill="1" applyBorder="1" applyAlignment="1">
      <alignment horizontal="center" vertical="center" wrapText="1"/>
    </xf>
    <xf numFmtId="0" fontId="17" fillId="10" borderId="5" xfId="0" applyFont="1" applyFill="1" applyBorder="1" applyAlignment="1">
      <alignment horizontal="center" vertical="center" wrapText="1"/>
    </xf>
    <xf numFmtId="164" fontId="18" fillId="11" borderId="3" xfId="2" applyNumberFormat="1" applyFont="1" applyFill="1" applyBorder="1" applyAlignment="1">
      <alignment horizontal="center"/>
    </xf>
    <xf numFmtId="166" fontId="4" fillId="11" borderId="3" xfId="3" applyNumberFormat="1" applyFont="1" applyFill="1" applyBorder="1"/>
    <xf numFmtId="164" fontId="18" fillId="10" borderId="3" xfId="2" applyNumberFormat="1" applyFont="1" applyFill="1" applyBorder="1" applyAlignment="1">
      <alignment horizontal="center"/>
    </xf>
    <xf numFmtId="0" fontId="4" fillId="11" borderId="3" xfId="0" applyFont="1" applyFill="1" applyBorder="1" applyAlignment="1">
      <alignment shrinkToFit="1"/>
    </xf>
    <xf numFmtId="14" fontId="4" fillId="11" borderId="3" xfId="0" applyNumberFormat="1" applyFont="1" applyFill="1" applyBorder="1" applyAlignment="1">
      <alignment shrinkToFit="1"/>
    </xf>
    <xf numFmtId="0" fontId="2" fillId="0" borderId="0" xfId="0" applyFont="1" applyAlignment="1">
      <alignment horizontal="right" vertical="center"/>
    </xf>
    <xf numFmtId="0" fontId="19" fillId="0" borderId="0" xfId="0" applyFont="1"/>
    <xf numFmtId="0" fontId="0" fillId="0" borderId="0" xfId="0" applyFont="1" applyAlignment="1">
      <alignment horizontal="left" vertical="top" wrapText="1"/>
    </xf>
    <xf numFmtId="0" fontId="22" fillId="0" borderId="0" xfId="0" applyFont="1" applyAlignment="1">
      <alignment horizontal="center"/>
    </xf>
    <xf numFmtId="43" fontId="0" fillId="2" borderId="1" xfId="0" applyNumberFormat="1" applyFill="1" applyBorder="1"/>
    <xf numFmtId="43" fontId="0" fillId="2" borderId="2" xfId="0" applyNumberFormat="1" applyFill="1" applyBorder="1"/>
    <xf numFmtId="43" fontId="0" fillId="2" borderId="11" xfId="0" applyNumberFormat="1" applyFill="1" applyBorder="1"/>
    <xf numFmtId="0" fontId="0" fillId="0" borderId="0" xfId="0" applyFont="1" applyAlignment="1">
      <alignment horizontal="left" vertical="top" wrapText="1"/>
    </xf>
    <xf numFmtId="0" fontId="0" fillId="0" borderId="0" xfId="0" applyFont="1" applyBorder="1" applyAlignment="1">
      <alignment horizontal="left" vertical="top" wrapText="1"/>
    </xf>
    <xf numFmtId="0" fontId="0" fillId="0" borderId="0" xfId="0" applyFont="1" applyBorder="1" applyAlignment="1">
      <alignment vertical="top" wrapText="1"/>
    </xf>
    <xf numFmtId="0" fontId="0" fillId="2" borderId="0" xfId="0" applyFont="1" applyFill="1" applyBorder="1" applyAlignment="1">
      <alignment vertical="top" wrapText="1"/>
    </xf>
    <xf numFmtId="0" fontId="0" fillId="2" borderId="0" xfId="0" applyFont="1" applyFill="1" applyBorder="1" applyAlignment="1">
      <alignment horizontal="left" vertical="top" wrapText="1"/>
    </xf>
    <xf numFmtId="164" fontId="0" fillId="0" borderId="0" xfId="0" applyNumberFormat="1"/>
    <xf numFmtId="0" fontId="2" fillId="14" borderId="3" xfId="0" applyFont="1" applyFill="1" applyBorder="1" applyAlignment="1">
      <alignment horizontal="center"/>
    </xf>
    <xf numFmtId="166" fontId="0" fillId="0" borderId="3" xfId="3" applyNumberFormat="1" applyFont="1" applyBorder="1"/>
    <xf numFmtId="166" fontId="0" fillId="0" borderId="3" xfId="3" applyNumberFormat="1" applyFont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0" xfId="0" applyAlignment="1">
      <alignment vertical="top"/>
    </xf>
    <xf numFmtId="44" fontId="2" fillId="2" borderId="3" xfId="1" applyFont="1" applyFill="1" applyBorder="1" applyAlignment="1">
      <alignment horizontal="left" vertical="top" wrapText="1"/>
    </xf>
    <xf numFmtId="0" fontId="0" fillId="14" borderId="3" xfId="0" applyFill="1" applyBorder="1" applyAlignment="1">
      <alignment horizontal="center"/>
    </xf>
    <xf numFmtId="44" fontId="0" fillId="0" borderId="3" xfId="1" applyFont="1" applyBorder="1"/>
    <xf numFmtId="9" fontId="0" fillId="0" borderId="3" xfId="2" applyFont="1" applyBorder="1"/>
    <xf numFmtId="0" fontId="2" fillId="9" borderId="3" xfId="0" applyFont="1" applyFill="1" applyBorder="1" applyAlignment="1">
      <alignment horizontal="center"/>
    </xf>
    <xf numFmtId="9" fontId="0" fillId="2" borderId="3" xfId="2" applyFont="1" applyFill="1" applyBorder="1"/>
    <xf numFmtId="166" fontId="0" fillId="2" borderId="0" xfId="3" applyNumberFormat="1" applyFont="1" applyFill="1"/>
    <xf numFmtId="0" fontId="0" fillId="0" borderId="0" xfId="0" applyAlignment="1">
      <alignment horizontal="right"/>
    </xf>
    <xf numFmtId="0" fontId="2" fillId="16" borderId="0" xfId="0" applyFont="1" applyFill="1" applyAlignment="1">
      <alignment horizontal="center"/>
    </xf>
    <xf numFmtId="0" fontId="0" fillId="0" borderId="3" xfId="0" applyFont="1" applyFill="1" applyBorder="1"/>
    <xf numFmtId="0" fontId="0" fillId="0" borderId="11" xfId="0" applyFont="1" applyBorder="1" applyAlignment="1">
      <alignment horizontal="left" vertical="top" wrapText="1"/>
    </xf>
    <xf numFmtId="44" fontId="0" fillId="0" borderId="3" xfId="0" applyNumberFormat="1" applyFont="1" applyFill="1" applyBorder="1"/>
    <xf numFmtId="0" fontId="0" fillId="0" borderId="13" xfId="0" applyBorder="1"/>
    <xf numFmtId="0" fontId="11" fillId="18" borderId="20" xfId="0" applyFont="1" applyFill="1" applyBorder="1"/>
    <xf numFmtId="0" fontId="11" fillId="18" borderId="21" xfId="0" applyFont="1" applyFill="1" applyBorder="1"/>
    <xf numFmtId="0" fontId="11" fillId="18" borderId="22" xfId="0" applyFont="1" applyFill="1" applyBorder="1"/>
    <xf numFmtId="44" fontId="0" fillId="0" borderId="13" xfId="0" applyNumberFormat="1" applyBorder="1"/>
    <xf numFmtId="10" fontId="0" fillId="0" borderId="13" xfId="0" applyNumberFormat="1" applyBorder="1"/>
    <xf numFmtId="10" fontId="0" fillId="0" borderId="3" xfId="0" applyNumberFormat="1" applyBorder="1"/>
    <xf numFmtId="0" fontId="0" fillId="2" borderId="3" xfId="0" applyFill="1" applyBorder="1" applyAlignment="1">
      <alignment wrapText="1"/>
    </xf>
    <xf numFmtId="167" fontId="0" fillId="2" borderId="10" xfId="3" applyNumberFormat="1" applyFont="1" applyFill="1" applyBorder="1" applyProtection="1"/>
    <xf numFmtId="0" fontId="2" fillId="0" borderId="0" xfId="0" applyFont="1" applyFill="1" applyBorder="1"/>
    <xf numFmtId="43" fontId="0" fillId="0" borderId="0" xfId="0" applyNumberFormat="1" applyBorder="1"/>
    <xf numFmtId="44" fontId="0" fillId="2" borderId="3" xfId="0" applyNumberFormat="1" applyFill="1" applyBorder="1" applyProtection="1"/>
    <xf numFmtId="165" fontId="0" fillId="0" borderId="5" xfId="0" applyNumberFormat="1" applyFont="1" applyFill="1" applyBorder="1"/>
    <xf numFmtId="165" fontId="0" fillId="0" borderId="18" xfId="0" applyNumberFormat="1" applyFont="1" applyFill="1" applyBorder="1"/>
    <xf numFmtId="0" fontId="0" fillId="0" borderId="12" xfId="0" applyFont="1" applyFill="1" applyBorder="1"/>
    <xf numFmtId="44" fontId="0" fillId="0" borderId="12" xfId="0" applyNumberFormat="1" applyFont="1" applyFill="1" applyBorder="1"/>
    <xf numFmtId="0" fontId="11" fillId="8" borderId="24" xfId="0" applyFont="1" applyFill="1" applyBorder="1" applyAlignment="1">
      <alignment horizontal="center" vertical="center"/>
    </xf>
    <xf numFmtId="0" fontId="11" fillId="8" borderId="13" xfId="0" applyFont="1" applyFill="1" applyBorder="1" applyAlignment="1">
      <alignment horizontal="center" vertical="center" wrapText="1"/>
    </xf>
    <xf numFmtId="0" fontId="11" fillId="8" borderId="23" xfId="0" applyFont="1" applyFill="1" applyBorder="1" applyAlignment="1">
      <alignment horizontal="center" vertical="center" wrapText="1"/>
    </xf>
    <xf numFmtId="0" fontId="0" fillId="0" borderId="5" xfId="0" applyFont="1" applyFill="1" applyBorder="1"/>
    <xf numFmtId="44" fontId="0" fillId="0" borderId="4" xfId="1" applyNumberFormat="1" applyFont="1" applyFill="1" applyBorder="1"/>
    <xf numFmtId="0" fontId="11" fillId="17" borderId="24" xfId="0" applyFont="1" applyFill="1" applyBorder="1" applyAlignment="1">
      <alignment horizontal="center" vertical="center" wrapText="1"/>
    </xf>
    <xf numFmtId="0" fontId="11" fillId="17" borderId="13" xfId="0" applyFont="1" applyFill="1" applyBorder="1" applyAlignment="1">
      <alignment horizontal="center" vertical="center" wrapText="1"/>
    </xf>
    <xf numFmtId="0" fontId="11" fillId="17" borderId="23" xfId="0" applyFont="1" applyFill="1" applyBorder="1" applyAlignment="1">
      <alignment horizontal="center" vertical="center" wrapText="1"/>
    </xf>
    <xf numFmtId="0" fontId="0" fillId="0" borderId="18" xfId="0" applyFont="1" applyFill="1" applyBorder="1"/>
    <xf numFmtId="44" fontId="0" fillId="0" borderId="14" xfId="1" applyNumberFormat="1" applyFont="1" applyFill="1" applyBorder="1"/>
    <xf numFmtId="44" fontId="0" fillId="0" borderId="4" xfId="1" applyFont="1" applyFill="1" applyBorder="1"/>
    <xf numFmtId="44" fontId="0" fillId="0" borderId="14" xfId="1" applyFont="1" applyFill="1" applyBorder="1"/>
    <xf numFmtId="44" fontId="2" fillId="0" borderId="3" xfId="0" applyNumberFormat="1" applyFont="1" applyFill="1" applyBorder="1"/>
    <xf numFmtId="44" fontId="2" fillId="0" borderId="12" xfId="0" applyNumberFormat="1" applyFont="1" applyFill="1" applyBorder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3" fontId="0" fillId="0" borderId="3" xfId="0" applyNumberFormat="1" applyBorder="1" applyAlignment="1">
      <alignment horizontal="center" vertical="center"/>
    </xf>
    <xf numFmtId="10" fontId="0" fillId="0" borderId="3" xfId="0" applyNumberForma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9" xfId="0" applyNumberFormat="1" applyBorder="1" applyAlignment="1">
      <alignment horizontal="center" vertical="center"/>
    </xf>
    <xf numFmtId="10" fontId="0" fillId="0" borderId="27" xfId="0" applyNumberFormat="1" applyBorder="1" applyAlignment="1">
      <alignment horizontal="center" vertical="center"/>
    </xf>
    <xf numFmtId="44" fontId="0" fillId="0" borderId="19" xfId="0" applyNumberFormat="1" applyBorder="1" applyAlignment="1">
      <alignment horizontal="center" vertical="center"/>
    </xf>
    <xf numFmtId="0" fontId="0" fillId="0" borderId="27" xfId="0" applyBorder="1"/>
    <xf numFmtId="0" fontId="0" fillId="0" borderId="26" xfId="0" applyBorder="1"/>
    <xf numFmtId="0" fontId="0" fillId="0" borderId="19" xfId="0" applyBorder="1" applyAlignment="1">
      <alignment horizontal="center" vertical="center"/>
    </xf>
    <xf numFmtId="0" fontId="0" fillId="0" borderId="19" xfId="0" pivotButton="1" applyBorder="1"/>
    <xf numFmtId="0" fontId="0" fillId="0" borderId="25" xfId="0" applyBorder="1"/>
    <xf numFmtId="166" fontId="0" fillId="2" borderId="3" xfId="3" quotePrefix="1" applyNumberFormat="1" applyFont="1" applyFill="1" applyBorder="1"/>
    <xf numFmtId="0" fontId="0" fillId="0" borderId="28" xfId="0" applyBorder="1" applyAlignment="1">
      <alignment horizontal="right"/>
    </xf>
    <xf numFmtId="166" fontId="0" fillId="0" borderId="12" xfId="3" applyNumberFormat="1" applyFont="1" applyBorder="1"/>
    <xf numFmtId="166" fontId="0" fillId="2" borderId="25" xfId="0" applyNumberFormat="1" applyFill="1" applyBorder="1"/>
    <xf numFmtId="166" fontId="0" fillId="2" borderId="27" xfId="0" applyNumberFormat="1" applyFill="1" applyBorder="1"/>
    <xf numFmtId="166" fontId="0" fillId="2" borderId="26" xfId="0" applyNumberFormat="1" applyFill="1" applyBorder="1"/>
    <xf numFmtId="166" fontId="0" fillId="2" borderId="29" xfId="3" quotePrefix="1" applyNumberFormat="1" applyFont="1" applyFill="1" applyBorder="1"/>
    <xf numFmtId="0" fontId="0" fillId="0" borderId="25" xfId="0" applyBorder="1" applyAlignment="1">
      <alignment horizontal="right"/>
    </xf>
    <xf numFmtId="0" fontId="0" fillId="19" borderId="26" xfId="0" applyFill="1" applyBorder="1"/>
    <xf numFmtId="166" fontId="0" fillId="0" borderId="0" xfId="3" applyNumberFormat="1" applyFont="1" applyFill="1" applyBorder="1"/>
    <xf numFmtId="0" fontId="0" fillId="20" borderId="3" xfId="0" applyFill="1" applyBorder="1"/>
    <xf numFmtId="0" fontId="0" fillId="0" borderId="0" xfId="0" applyBorder="1" applyAlignment="1">
      <alignment vertical="top" wrapText="1"/>
    </xf>
    <xf numFmtId="0" fontId="0" fillId="2" borderId="25" xfId="0" applyFill="1" applyBorder="1"/>
    <xf numFmtId="0" fontId="0" fillId="2" borderId="27" xfId="0" applyFill="1" applyBorder="1"/>
    <xf numFmtId="0" fontId="0" fillId="2" borderId="26" xfId="0" applyFill="1" applyBorder="1"/>
    <xf numFmtId="14" fontId="15" fillId="9" borderId="2" xfId="0" applyNumberFormat="1" applyFont="1" applyFill="1" applyBorder="1" applyAlignment="1" applyProtection="1">
      <alignment horizontal="left" vertical="center"/>
      <protection locked="0"/>
    </xf>
    <xf numFmtId="0" fontId="15" fillId="9" borderId="2" xfId="0" applyFont="1" applyFill="1" applyBorder="1" applyAlignment="1" applyProtection="1">
      <alignment horizontal="left" vertical="center"/>
      <protection locked="0"/>
    </xf>
    <xf numFmtId="0" fontId="15" fillId="9" borderId="1" xfId="0" applyFont="1" applyFill="1" applyBorder="1" applyAlignment="1" applyProtection="1">
      <alignment horizontal="left" vertical="center"/>
      <protection locked="0"/>
    </xf>
    <xf numFmtId="0" fontId="20" fillId="9" borderId="2" xfId="4" applyFill="1" applyBorder="1" applyAlignment="1" applyProtection="1">
      <alignment horizontal="left" vertical="center"/>
      <protection locked="0"/>
    </xf>
    <xf numFmtId="0" fontId="15" fillId="4" borderId="3" xfId="0" applyFont="1" applyFill="1" applyBorder="1" applyAlignment="1">
      <alignment horizontal="center"/>
    </xf>
    <xf numFmtId="0" fontId="0" fillId="0" borderId="4" xfId="0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5" xfId="0" applyBorder="1" applyAlignment="1">
      <alignment vertical="center"/>
    </xf>
    <xf numFmtId="0" fontId="0" fillId="0" borderId="4" xfId="0" applyBorder="1" applyAlignment="1" applyProtection="1">
      <alignment vertical="center"/>
      <protection locked="0"/>
    </xf>
    <xf numFmtId="0" fontId="0" fillId="0" borderId="2" xfId="0" applyBorder="1" applyAlignment="1" applyProtection="1">
      <alignment vertical="center"/>
      <protection locked="0"/>
    </xf>
    <xf numFmtId="0" fontId="0" fillId="0" borderId="5" xfId="0" applyBorder="1" applyAlignment="1" applyProtection="1">
      <alignment vertical="center"/>
      <protection locked="0"/>
    </xf>
    <xf numFmtId="0" fontId="3" fillId="13" borderId="6" xfId="0" applyFont="1" applyFill="1" applyBorder="1" applyAlignment="1">
      <alignment horizontal="center"/>
    </xf>
    <xf numFmtId="0" fontId="3" fillId="13" borderId="7" xfId="0" applyFont="1" applyFill="1" applyBorder="1" applyAlignment="1">
      <alignment horizontal="center"/>
    </xf>
    <xf numFmtId="0" fontId="3" fillId="13" borderId="8" xfId="0" applyFont="1" applyFill="1" applyBorder="1" applyAlignment="1">
      <alignment horizontal="center"/>
    </xf>
    <xf numFmtId="0" fontId="3" fillId="0" borderId="11" xfId="0" applyFont="1" applyBorder="1" applyAlignment="1">
      <alignment horizontal="left" vertical="top" wrapText="1"/>
    </xf>
    <xf numFmtId="0" fontId="3" fillId="0" borderId="0" xfId="0" applyFont="1" applyBorder="1" applyAlignment="1">
      <alignment horizontal="left" vertical="top" wrapText="1"/>
    </xf>
    <xf numFmtId="0" fontId="0" fillId="0" borderId="0" xfId="0" applyAlignment="1">
      <alignment horizontal="justify" vertical="top" wrapText="1"/>
    </xf>
    <xf numFmtId="0" fontId="2" fillId="3" borderId="14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2" fillId="3" borderId="18" xfId="0" applyFont="1" applyFill="1" applyBorder="1" applyAlignment="1">
      <alignment horizontal="center"/>
    </xf>
    <xf numFmtId="0" fontId="0" fillId="0" borderId="0" xfId="0" applyFont="1" applyAlignment="1">
      <alignment horizontal="left" vertical="top" wrapText="1"/>
    </xf>
    <xf numFmtId="0" fontId="0" fillId="0" borderId="0" xfId="0" applyFont="1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2" fillId="15" borderId="1" xfId="0" applyFont="1" applyFill="1" applyBorder="1" applyAlignment="1">
      <alignment horizontal="center"/>
    </xf>
    <xf numFmtId="0" fontId="0" fillId="0" borderId="0" xfId="0" applyAlignment="1">
      <alignment horizontal="left" wrapText="1"/>
    </xf>
    <xf numFmtId="0" fontId="2" fillId="9" borderId="0" xfId="0" applyFont="1" applyFill="1" applyBorder="1" applyAlignment="1">
      <alignment horizontal="center"/>
    </xf>
    <xf numFmtId="0" fontId="2" fillId="3" borderId="4" xfId="0" applyFont="1" applyFill="1" applyBorder="1" applyAlignment="1">
      <alignment horizontal="center" vertical="top" wrapText="1"/>
    </xf>
    <xf numFmtId="0" fontId="2" fillId="3" borderId="2" xfId="0" applyFont="1" applyFill="1" applyBorder="1" applyAlignment="1">
      <alignment horizontal="center" vertical="top" wrapText="1"/>
    </xf>
    <xf numFmtId="0" fontId="2" fillId="3" borderId="5" xfId="0" applyFont="1" applyFill="1" applyBorder="1" applyAlignment="1">
      <alignment horizontal="center" vertical="top" wrapText="1"/>
    </xf>
    <xf numFmtId="0" fontId="2" fillId="3" borderId="12" xfId="0" applyFont="1" applyFill="1" applyBorder="1" applyAlignment="1">
      <alignment horizontal="center" vertical="center" wrapText="1"/>
    </xf>
    <xf numFmtId="0" fontId="2" fillId="3" borderId="13" xfId="0" applyFont="1" applyFill="1" applyBorder="1" applyAlignment="1">
      <alignment horizontal="center" vertical="center" wrapText="1"/>
    </xf>
    <xf numFmtId="0" fontId="18" fillId="12" borderId="1" xfId="0" applyFont="1" applyFill="1" applyBorder="1" applyAlignment="1">
      <alignment horizontal="center"/>
    </xf>
    <xf numFmtId="0" fontId="2" fillId="10" borderId="4" xfId="0" applyFont="1" applyFill="1" applyBorder="1" applyAlignment="1">
      <alignment horizontal="center" vertical="center" wrapText="1"/>
    </xf>
    <xf numFmtId="0" fontId="2" fillId="10" borderId="2" xfId="0" applyFont="1" applyFill="1" applyBorder="1" applyAlignment="1">
      <alignment horizontal="center" vertical="center" wrapText="1"/>
    </xf>
    <xf numFmtId="0" fontId="2" fillId="10" borderId="5" xfId="0" applyFont="1" applyFill="1" applyBorder="1" applyAlignment="1">
      <alignment horizontal="center" vertical="center" wrapText="1"/>
    </xf>
    <xf numFmtId="0" fontId="2" fillId="7" borderId="12" xfId="0" applyFont="1" applyFill="1" applyBorder="1" applyAlignment="1">
      <alignment horizontal="center" vertical="center" wrapText="1"/>
    </xf>
    <xf numFmtId="0" fontId="2" fillId="7" borderId="13" xfId="0" applyFont="1" applyFill="1" applyBorder="1" applyAlignment="1">
      <alignment horizontal="center" vertical="center" wrapText="1"/>
    </xf>
    <xf numFmtId="0" fontId="22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21" fillId="0" borderId="0" xfId="0" applyFont="1" applyAlignment="1">
      <alignment horizontal="center"/>
    </xf>
    <xf numFmtId="0" fontId="5" fillId="0" borderId="0" xfId="0" applyFont="1"/>
    <xf numFmtId="0" fontId="23" fillId="0" borderId="0" xfId="0" applyFont="1" applyAlignment="1">
      <alignment horizontal="center"/>
    </xf>
  </cellXfs>
  <cellStyles count="5">
    <cellStyle name="Comma" xfId="3" builtinId="3"/>
    <cellStyle name="Currency" xfId="1" builtinId="4"/>
    <cellStyle name="Hyperlink" xfId="4" builtinId="8"/>
    <cellStyle name="Normal" xfId="0" builtinId="0"/>
    <cellStyle name="Percent" xfId="2" builtinId="5"/>
  </cellStyles>
  <dxfs count="4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&quot;R$&quot;\ * #,##0.00_-;\-&quot;R$&quot;\ * #,##0.00_-;_-&quot;R$&quot;\ * &quot;-&quot;??_-;_-@_-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&quot;R$&quot;\ * #,##0.00_-;\-&quot;R$&quot;\ * #,##0.00_-;_-&quot;R$&quot;\ * &quot;-&quot;??_-;_-@_-"/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&quot;R$&quot;\ * #,##0.00_-;\-&quot;R$&quot;\ * #,##0.00_-;_-&quot;R$&quot;\ * &quot;-&quot;??_-;_-@_-"/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&quot;R$&quot;\ * #,##0.00_-;\-&quot;R$&quot;\ * #,##0.00_-;_-&quot;R$&quot;\ * &quot;-&quot;??_-;_-@_-"/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[$-416]mmmm\-yy;@"/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6"/>
          <bgColor theme="6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/>
    </dxf>
    <dxf>
      <alignment horizontal="center"/>
    </dxf>
    <dxf>
      <alignment vertical="center"/>
    </dxf>
    <dxf>
      <alignment vertical="center"/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vertical="center"/>
    </dxf>
    <dxf>
      <alignment vertical="center"/>
    </dxf>
    <dxf>
      <alignment horizontal="center"/>
    </dxf>
    <dxf>
      <alignment horizontal="center"/>
    </dxf>
    <dxf>
      <numFmt numFmtId="14" formatCode="0.00%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" formatCode="#,##0"/>
    </dxf>
    <dxf>
      <alignment horizontal="center"/>
    </dxf>
    <dxf>
      <alignment horizontal="center"/>
    </dxf>
    <dxf>
      <alignment vertical="center"/>
    </dxf>
    <dxf>
      <alignment vertical="center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" formatCode="#,##0"/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7/relationships/slicerCache" Target="slicerCaches/slicerCach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[Copy of PROVA EXCEL MULTILASER.xlsm]ANÁLISE DE VENDAS!Tabela dinâmica1</c:name>
    <c:fmtId val="8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Quantidade vendida por dep.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'ANÁLISE DE VENDAS'!$B$123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'ANÁLISE DE VENDAS'!$A$124:$A$132</c:f>
              <c:strCache>
                <c:ptCount val="8"/>
                <c:pt idx="0">
                  <c:v>Iluminação</c:v>
                </c:pt>
                <c:pt idx="1">
                  <c:v>Informática</c:v>
                </c:pt>
                <c:pt idx="2">
                  <c:v>Compartimentos</c:v>
                </c:pt>
                <c:pt idx="3">
                  <c:v>Tablets</c:v>
                </c:pt>
                <c:pt idx="4">
                  <c:v>Segurança</c:v>
                </c:pt>
                <c:pt idx="5">
                  <c:v>EletroEletronico</c:v>
                </c:pt>
                <c:pt idx="6">
                  <c:v>Brinquedos</c:v>
                </c:pt>
                <c:pt idx="7">
                  <c:v>Auto</c:v>
                </c:pt>
              </c:strCache>
            </c:strRef>
          </c:cat>
          <c:val>
            <c:numRef>
              <c:f>'ANÁLISE DE VENDAS'!$B$124:$B$132</c:f>
              <c:numCache>
                <c:formatCode>#,##0</c:formatCode>
                <c:ptCount val="8"/>
                <c:pt idx="0">
                  <c:v>55</c:v>
                </c:pt>
                <c:pt idx="1">
                  <c:v>42</c:v>
                </c:pt>
                <c:pt idx="2">
                  <c:v>10</c:v>
                </c:pt>
                <c:pt idx="3">
                  <c:v>10</c:v>
                </c:pt>
                <c:pt idx="4">
                  <c:v>7</c:v>
                </c:pt>
                <c:pt idx="5">
                  <c:v>7</c:v>
                </c:pt>
                <c:pt idx="6">
                  <c:v>6</c:v>
                </c:pt>
                <c:pt idx="7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8D-46EE-9BE7-A608FAE7F3AD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622742063"/>
        <c:axId val="1437748079"/>
      </c:barChart>
      <c:catAx>
        <c:axId val="162274206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37748079"/>
        <c:crosses val="autoZero"/>
        <c:auto val="1"/>
        <c:lblAlgn val="ctr"/>
        <c:lblOffset val="100"/>
        <c:noMultiLvlLbl val="0"/>
      </c:catAx>
      <c:valAx>
        <c:axId val="1437748079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crossAx val="16227420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[Copy of PROVA EXCEL MULTILASER.xlsm]ANÁLISE DE VENDAS!Tabela dinâmica2</c:name>
    <c:fmtId val="13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'ANÁLISE DE VENDAS'!$B$145</c:f>
              <c:strCache>
                <c:ptCount val="1"/>
                <c:pt idx="0">
                  <c:v>VENDAS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'ANÁLISE DE VENDAS'!$A$146:$A$154</c:f>
              <c:strCache>
                <c:ptCount val="8"/>
                <c:pt idx="0">
                  <c:v>Iluminação</c:v>
                </c:pt>
                <c:pt idx="1">
                  <c:v>Informática</c:v>
                </c:pt>
                <c:pt idx="2">
                  <c:v>Compartimentos</c:v>
                </c:pt>
                <c:pt idx="3">
                  <c:v>Tablets</c:v>
                </c:pt>
                <c:pt idx="4">
                  <c:v>Segurança</c:v>
                </c:pt>
                <c:pt idx="5">
                  <c:v>EletroEletronico</c:v>
                </c:pt>
                <c:pt idx="6">
                  <c:v>Brinquedos</c:v>
                </c:pt>
                <c:pt idx="7">
                  <c:v>Auto</c:v>
                </c:pt>
              </c:strCache>
            </c:strRef>
          </c:cat>
          <c:val>
            <c:numRef>
              <c:f>'ANÁLISE DE VENDAS'!$B$146:$B$154</c:f>
              <c:numCache>
                <c:formatCode>#,##0</c:formatCode>
                <c:ptCount val="8"/>
                <c:pt idx="0">
                  <c:v>55</c:v>
                </c:pt>
                <c:pt idx="1">
                  <c:v>42</c:v>
                </c:pt>
                <c:pt idx="2">
                  <c:v>10</c:v>
                </c:pt>
                <c:pt idx="3">
                  <c:v>10</c:v>
                </c:pt>
                <c:pt idx="4">
                  <c:v>7</c:v>
                </c:pt>
                <c:pt idx="5">
                  <c:v>7</c:v>
                </c:pt>
                <c:pt idx="6">
                  <c:v>6</c:v>
                </c:pt>
                <c:pt idx="7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F4-41EC-BB2E-2DF4085BCE06}"/>
            </c:ext>
          </c:extLst>
        </c:ser>
        <c:ser>
          <c:idx val="1"/>
          <c:order val="1"/>
          <c:tx>
            <c:strRef>
              <c:f>'ANÁLISE DE VENDAS'!$C$145</c:f>
              <c:strCache>
                <c:ptCount val="1"/>
                <c:pt idx="0">
                  <c:v>%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'ANÁLISE DE VENDAS'!$A$146:$A$154</c:f>
              <c:strCache>
                <c:ptCount val="8"/>
                <c:pt idx="0">
                  <c:v>Iluminação</c:v>
                </c:pt>
                <c:pt idx="1">
                  <c:v>Informática</c:v>
                </c:pt>
                <c:pt idx="2">
                  <c:v>Compartimentos</c:v>
                </c:pt>
                <c:pt idx="3">
                  <c:v>Tablets</c:v>
                </c:pt>
                <c:pt idx="4">
                  <c:v>Segurança</c:v>
                </c:pt>
                <c:pt idx="5">
                  <c:v>EletroEletronico</c:v>
                </c:pt>
                <c:pt idx="6">
                  <c:v>Brinquedos</c:v>
                </c:pt>
                <c:pt idx="7">
                  <c:v>Auto</c:v>
                </c:pt>
              </c:strCache>
            </c:strRef>
          </c:cat>
          <c:val>
            <c:numRef>
              <c:f>'ANÁLISE DE VENDAS'!$C$146:$C$154</c:f>
              <c:numCache>
                <c:formatCode>0.00%</c:formatCode>
                <c:ptCount val="8"/>
                <c:pt idx="0">
                  <c:v>0.38732394366197181</c:v>
                </c:pt>
                <c:pt idx="1">
                  <c:v>0.29577464788732394</c:v>
                </c:pt>
                <c:pt idx="2">
                  <c:v>7.0422535211267609E-2</c:v>
                </c:pt>
                <c:pt idx="3">
                  <c:v>7.0422535211267609E-2</c:v>
                </c:pt>
                <c:pt idx="4">
                  <c:v>4.9295774647887321E-2</c:v>
                </c:pt>
                <c:pt idx="5">
                  <c:v>4.9295774647887321E-2</c:v>
                </c:pt>
                <c:pt idx="6">
                  <c:v>4.2253521126760563E-2</c:v>
                </c:pt>
                <c:pt idx="7">
                  <c:v>3.5211267605633804E-2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4F4-41EC-BB2E-2DF4085BCE06}"/>
            </c:ext>
          </c:extLst>
        </c:ser>
        <c:ser>
          <c:idx val="2"/>
          <c:order val="2"/>
          <c:tx>
            <c:strRef>
              <c:f>'ANÁLISE DE VENDAS'!$D$145</c:f>
              <c:strCache>
                <c:ptCount val="1"/>
                <c:pt idx="0">
                  <c:v>Soma de comissão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'ANÁLISE DE VENDAS'!$A$146:$A$154</c:f>
              <c:strCache>
                <c:ptCount val="8"/>
                <c:pt idx="0">
                  <c:v>Iluminação</c:v>
                </c:pt>
                <c:pt idx="1">
                  <c:v>Informática</c:v>
                </c:pt>
                <c:pt idx="2">
                  <c:v>Compartimentos</c:v>
                </c:pt>
                <c:pt idx="3">
                  <c:v>Tablets</c:v>
                </c:pt>
                <c:pt idx="4">
                  <c:v>Segurança</c:v>
                </c:pt>
                <c:pt idx="5">
                  <c:v>EletroEletronico</c:v>
                </c:pt>
                <c:pt idx="6">
                  <c:v>Brinquedos</c:v>
                </c:pt>
                <c:pt idx="7">
                  <c:v>Auto</c:v>
                </c:pt>
              </c:strCache>
            </c:strRef>
          </c:cat>
          <c:val>
            <c:numRef>
              <c:f>'ANÁLISE DE VENDAS'!$D$146:$D$154</c:f>
              <c:numCache>
                <c:formatCode>#,##0</c:formatCode>
                <c:ptCount val="8"/>
                <c:pt idx="0">
                  <c:v>22.6</c:v>
                </c:pt>
                <c:pt idx="1">
                  <c:v>59.671999999999997</c:v>
                </c:pt>
                <c:pt idx="2">
                  <c:v>8</c:v>
                </c:pt>
                <c:pt idx="3">
                  <c:v>143.20000000000002</c:v>
                </c:pt>
                <c:pt idx="4">
                  <c:v>1.4000000000000001</c:v>
                </c:pt>
                <c:pt idx="5">
                  <c:v>72.52</c:v>
                </c:pt>
                <c:pt idx="6">
                  <c:v>6</c:v>
                </c:pt>
                <c:pt idx="7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4F4-41EC-BB2E-2DF4085BCE0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552340239"/>
        <c:axId val="1437755983"/>
      </c:barChart>
      <c:catAx>
        <c:axId val="155234023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37755983"/>
        <c:crosses val="autoZero"/>
        <c:auto val="1"/>
        <c:lblAlgn val="ctr"/>
        <c:lblOffset val="100"/>
        <c:noMultiLvlLbl val="0"/>
      </c:catAx>
      <c:valAx>
        <c:axId val="14377559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5234023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'NOTA FINAL'!$B$5</c:f>
          <c:strCache>
            <c:ptCount val="1"/>
            <c:pt idx="0">
              <c:v>Caio lima</c:v>
            </c:pt>
          </c:strCache>
        </c:strRef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'NOTA FINAL'!$E$3</c:f>
              <c:strCache>
                <c:ptCount val="1"/>
                <c:pt idx="0">
                  <c:v>FORMTAÇÃO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vert="horz" anchor="t" anchorCtr="1"/>
              <a:lstStyle/>
              <a:p>
                <a:pPr>
                  <a:defRPr b="1"/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1"/>
              <c:pt idx="0">
                <c:v>NOTAS DO TESTE</c:v>
              </c:pt>
            </c:strLit>
          </c:cat>
          <c:val>
            <c:numRef>
              <c:f>'NOTA FINAL'!$G$5</c:f>
              <c:numCache>
                <c:formatCode>0.0%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24-4DD8-9E3F-C1C54FCE439F}"/>
            </c:ext>
          </c:extLst>
        </c:ser>
        <c:ser>
          <c:idx val="1"/>
          <c:order val="1"/>
          <c:tx>
            <c:strRef>
              <c:f>'NOTA FINAL'!$H$3</c:f>
              <c:strCache>
                <c:ptCount val="1"/>
                <c:pt idx="0">
                  <c:v>FÓRMULAS BÁSICAS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 b="1"/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1"/>
              <c:pt idx="0">
                <c:v>NOTAS DO TESTE</c:v>
              </c:pt>
            </c:strLit>
          </c:cat>
          <c:val>
            <c:numRef>
              <c:f>'NOTA FINAL'!$J$5</c:f>
              <c:numCache>
                <c:formatCode>0.0%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324-4DD8-9E3F-C1C54FCE439F}"/>
            </c:ext>
          </c:extLst>
        </c:ser>
        <c:ser>
          <c:idx val="2"/>
          <c:order val="2"/>
          <c:tx>
            <c:strRef>
              <c:f>'NOTA FINAL'!$K$3</c:f>
              <c:strCache>
                <c:ptCount val="1"/>
                <c:pt idx="0">
                  <c:v>PORCENTAGEM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 b="1"/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1"/>
              <c:pt idx="0">
                <c:v>NOTAS DO TESTE</c:v>
              </c:pt>
            </c:strLit>
          </c:cat>
          <c:val>
            <c:numRef>
              <c:f>'NOTA FINAL'!$M$5</c:f>
              <c:numCache>
                <c:formatCode>0.0%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324-4DD8-9E3F-C1C54FCE439F}"/>
            </c:ext>
          </c:extLst>
        </c:ser>
        <c:ser>
          <c:idx val="3"/>
          <c:order val="3"/>
          <c:tx>
            <c:strRef>
              <c:f>'NOTA FINAL'!$N$3</c:f>
              <c:strCache>
                <c:ptCount val="1"/>
                <c:pt idx="0">
                  <c:v>EXCEL AVANÇADO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 b="1"/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1"/>
              <c:pt idx="0">
                <c:v>NOTAS DO TESTE</c:v>
              </c:pt>
            </c:strLit>
          </c:cat>
          <c:val>
            <c:numRef>
              <c:f>'NOTA FINAL'!$P$5</c:f>
              <c:numCache>
                <c:formatCode>0.0%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324-4DD8-9E3F-C1C54FCE439F}"/>
            </c:ext>
          </c:extLst>
        </c:ser>
        <c:ser>
          <c:idx val="5"/>
          <c:order val="4"/>
          <c:tx>
            <c:strRef>
              <c:f>'NOTA FINAL'!$Q$3</c:f>
              <c:strCache>
                <c:ptCount val="1"/>
                <c:pt idx="0">
                  <c:v>MACROS E VBA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 b="1"/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'NOTA FINAL'!$S$5</c:f>
              <c:numCache>
                <c:formatCode>0.0%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324-4DD8-9E3F-C1C54FCE439F}"/>
            </c:ext>
          </c:extLst>
        </c:ser>
        <c:ser>
          <c:idx val="4"/>
          <c:order val="5"/>
          <c:tx>
            <c:strRef>
              <c:f>'NOTA FINAL'!$T$3:$T$4</c:f>
              <c:strCache>
                <c:ptCount val="2"/>
                <c:pt idx="0">
                  <c:v>NOTA FINAL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 sz="1200" b="1">
                    <a:solidFill>
                      <a:schemeClr val="tx1"/>
                    </a:solidFill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1"/>
              <c:pt idx="0">
                <c:v>NOTAS DO TESTE</c:v>
              </c:pt>
            </c:strLit>
          </c:cat>
          <c:val>
            <c:numRef>
              <c:f>'NOTA FINAL'!$T$5</c:f>
              <c:numCache>
                <c:formatCode>0.0%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324-4DD8-9E3F-C1C54FCE439F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-48"/>
        <c:axId val="648861040"/>
        <c:axId val="719407952"/>
      </c:barChart>
      <c:catAx>
        <c:axId val="64886104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719407952"/>
        <c:crosses val="autoZero"/>
        <c:auto val="1"/>
        <c:lblAlgn val="ctr"/>
        <c:lblOffset val="100"/>
        <c:noMultiLvlLbl val="0"/>
      </c:catAx>
      <c:valAx>
        <c:axId val="719407952"/>
        <c:scaling>
          <c:orientation val="minMax"/>
          <c:max val="1"/>
        </c:scaling>
        <c:delete val="0"/>
        <c:axPos val="l"/>
        <c:numFmt formatCode="0.0%" sourceLinked="1"/>
        <c:majorTickMark val="out"/>
        <c:minorTickMark val="none"/>
        <c:tickLblPos val="nextTo"/>
        <c:crossAx val="64886104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Spin" dx="16" fmlaLink="$B$78" max="4" min="1" page="10"/>
</file>

<file path=xl/ctrlProps/ctrlProp2.xml><?xml version="1.0" encoding="utf-8"?>
<formControlPr xmlns="http://schemas.microsoft.com/office/spreadsheetml/2009/9/main" objectType="Spin" dx="22" fmlaLink="$B$81" max="4" min="1" page="10" val="4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jpe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#IN&#205;CIO!A1"/><Relationship Id="rId1" Type="http://schemas.openxmlformats.org/officeDocument/2006/relationships/image" Target="../media/image7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hyperlink" Target="#INSTRU&#199;&#213;ES!A1"/><Relationship Id="rId1" Type="http://schemas.openxmlformats.org/officeDocument/2006/relationships/image" Target="../media/image7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hyperlink" Target="#FORMATA&#199;&#195;O!A1"/><Relationship Id="rId1" Type="http://schemas.openxmlformats.org/officeDocument/2006/relationships/image" Target="../media/image7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hyperlink" Target="#'F&#211;RMULAS B&#193;SICAS'!A1"/><Relationship Id="rId1" Type="http://schemas.openxmlformats.org/officeDocument/2006/relationships/image" Target="../media/image7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.xml"/><Relationship Id="rId2" Type="http://schemas.openxmlformats.org/officeDocument/2006/relationships/hyperlink" Target="#PORCENTAGEM!A1"/><Relationship Id="rId1" Type="http://schemas.openxmlformats.org/officeDocument/2006/relationships/image" Target="../media/image7.png"/><Relationship Id="rId4" Type="http://schemas.openxmlformats.org/officeDocument/2006/relationships/chart" Target="../charts/chart2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image" Target="../media/image8.png"/></Relationships>
</file>

<file path=xl/drawings/_rels/drawing9.xml.rels><?xml version="1.0" encoding="UTF-8" standalone="yes"?>
<Relationships xmlns="http://schemas.openxmlformats.org/package/2006/relationships"><Relationship Id="rId3" Type="http://schemas.microsoft.com/office/2007/relationships/hdphoto" Target="../media/hdphoto1.wdp"/><Relationship Id="rId2" Type="http://schemas.openxmlformats.org/officeDocument/2006/relationships/image" Target="../media/image9.png"/><Relationship Id="rId1" Type="http://schemas.openxmlformats.org/officeDocument/2006/relationships/hyperlink" Target="#IN&#205;CIO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442914</xdr:colOff>
      <xdr:row>0</xdr:row>
      <xdr:rowOff>104775</xdr:rowOff>
    </xdr:from>
    <xdr:to>
      <xdr:col>3</xdr:col>
      <xdr:colOff>199147</xdr:colOff>
      <xdr:row>4</xdr:row>
      <xdr:rowOff>19049</xdr:rowOff>
    </xdr:to>
    <xdr:pic>
      <xdr:nvPicPr>
        <xdr:cNvPr id="2" name="Imagem 1" descr="http://upload.wikimedia.org/wikipedia/commons/7/7c/Multilaser_logo.png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b="27210"/>
        <a:stretch/>
      </xdr:blipFill>
      <xdr:spPr bwMode="auto">
        <a:xfrm>
          <a:off x="442914" y="104775"/>
          <a:ext cx="1585033" cy="6762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3</xdr:col>
      <xdr:colOff>334638</xdr:colOff>
      <xdr:row>0</xdr:row>
      <xdr:rowOff>140785</xdr:rowOff>
    </xdr:from>
    <xdr:ext cx="3159776" cy="743280"/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163438" y="140785"/>
          <a:ext cx="3159776" cy="743280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pt-BR" sz="1800" b="1" cap="none" spc="0">
              <a:ln w="10541" cmpd="sng">
                <a:solidFill>
                  <a:srgbClr val="7D7D7D">
                    <a:tint val="100000"/>
                    <a:shade val="100000"/>
                    <a:satMod val="110000"/>
                  </a:srgbClr>
                </a:solidFill>
                <a:prstDash val="solid"/>
              </a:ln>
              <a:solidFill>
                <a:schemeClr val="tx1"/>
              </a:solidFill>
              <a:effectLst/>
              <a:latin typeface="Arial Black" panose="020B0A04020102020204" pitchFamily="34" charset="0"/>
            </a:rPr>
            <a:t>TESTE DE </a:t>
          </a:r>
          <a:r>
            <a:rPr lang="pt-BR" sz="1800" b="1" cap="none" spc="0">
              <a:ln w="10541" cmpd="sng">
                <a:solidFill>
                  <a:srgbClr val="7D7D7D">
                    <a:tint val="100000"/>
                    <a:shade val="100000"/>
                    <a:satMod val="110000"/>
                  </a:srgbClr>
                </a:solidFill>
                <a:prstDash val="solid"/>
              </a:ln>
              <a:solidFill>
                <a:sysClr val="windowText" lastClr="000000"/>
              </a:solidFill>
              <a:effectLst/>
              <a:latin typeface="Arial Black" panose="020B0A04020102020204" pitchFamily="34" charset="0"/>
            </a:rPr>
            <a:t>EXCEL:</a:t>
          </a:r>
        </a:p>
        <a:p>
          <a:pPr algn="ctr"/>
          <a:r>
            <a:rPr lang="pt-BR" sz="1800" b="1" cap="none" spc="0" baseline="0">
              <a:ln w="10541" cmpd="sng">
                <a:solidFill>
                  <a:srgbClr val="7D7D7D">
                    <a:tint val="100000"/>
                    <a:shade val="100000"/>
                    <a:satMod val="110000"/>
                  </a:srgbClr>
                </a:solidFill>
                <a:prstDash val="solid"/>
              </a:ln>
              <a:solidFill>
                <a:schemeClr val="tx1"/>
              </a:solidFill>
              <a:effectLst/>
              <a:latin typeface="Arial Black" panose="020B0A04020102020204" pitchFamily="34" charset="0"/>
            </a:rPr>
            <a:t>BÁSICO AO AVANÇADO</a:t>
          </a:r>
          <a:endParaRPr lang="pt-BR" sz="1800" b="1" cap="none" spc="0">
            <a:ln w="10541" cmpd="sng">
              <a:solidFill>
                <a:srgbClr val="7D7D7D">
                  <a:tint val="100000"/>
                  <a:shade val="100000"/>
                  <a:satMod val="110000"/>
                </a:srgbClr>
              </a:solidFill>
              <a:prstDash val="solid"/>
            </a:ln>
            <a:solidFill>
              <a:schemeClr val="tx1"/>
            </a:solidFill>
            <a:effectLst/>
            <a:latin typeface="Arial Black" panose="020B0A04020102020204" pitchFamily="34" charset="0"/>
          </a:endParaRPr>
        </a:p>
      </xdr:txBody>
    </xdr:sp>
    <xdr:clientData/>
  </xdr:oneCellAnchor>
  <xdr:twoCellAnchor>
    <xdr:from>
      <xdr:col>4</xdr:col>
      <xdr:colOff>133350</xdr:colOff>
      <xdr:row>20</xdr:row>
      <xdr:rowOff>9525</xdr:rowOff>
    </xdr:from>
    <xdr:to>
      <xdr:col>7</xdr:col>
      <xdr:colOff>304800</xdr:colOff>
      <xdr:row>23</xdr:row>
      <xdr:rowOff>38100</xdr:rowOff>
    </xdr:to>
    <xdr:sp macro="[0]!inicio_instrucoes" textlink="">
      <xdr:nvSpPr>
        <xdr:cNvPr id="5" name="Seta para a direita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2571750" y="3790950"/>
          <a:ext cx="2000250" cy="600075"/>
        </a:xfrm>
        <a:prstGeom prst="rightArrow">
          <a:avLst/>
        </a:prstGeom>
        <a:ln/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pt-BR" sz="1200" b="1"/>
            <a:t>CLIQUE PARA CONTINUAR</a:t>
          </a:r>
        </a:p>
      </xdr:txBody>
    </xdr:sp>
    <xdr:clientData/>
  </xdr:twoCellAnchor>
  <xdr:twoCellAnchor>
    <xdr:from>
      <xdr:col>12</xdr:col>
      <xdr:colOff>219075</xdr:colOff>
      <xdr:row>0</xdr:row>
      <xdr:rowOff>38100</xdr:rowOff>
    </xdr:from>
    <xdr:to>
      <xdr:col>14</xdr:col>
      <xdr:colOff>28575</xdr:colOff>
      <xdr:row>1</xdr:row>
      <xdr:rowOff>171450</xdr:rowOff>
    </xdr:to>
    <xdr:sp macro="[0]!CORRIGIR" textlink="">
      <xdr:nvSpPr>
        <xdr:cNvPr id="4" name="Retângulo de cantos arredondados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7534275" y="38100"/>
          <a:ext cx="1028700" cy="323850"/>
        </a:xfrm>
        <a:prstGeom prst="roundRect">
          <a:avLst/>
        </a:prstGeom>
        <a:gradFill flip="none" rotWithShape="1">
          <a:gsLst>
            <a:gs pos="0">
              <a:schemeClr val="bg1">
                <a:lumMod val="85000"/>
                <a:shade val="30000"/>
                <a:satMod val="115000"/>
              </a:schemeClr>
            </a:gs>
            <a:gs pos="50000">
              <a:schemeClr val="bg1">
                <a:lumMod val="85000"/>
                <a:shade val="67500"/>
                <a:satMod val="115000"/>
              </a:schemeClr>
            </a:gs>
            <a:gs pos="100000">
              <a:schemeClr val="bg1">
                <a:lumMod val="85000"/>
                <a:shade val="100000"/>
                <a:satMod val="115000"/>
              </a:schemeClr>
            </a:gs>
          </a:gsLst>
          <a:lin ang="18900000" scaled="1"/>
          <a:tileRect/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Corrigir</a:t>
          </a:r>
        </a:p>
      </xdr:txBody>
    </xdr:sp>
    <xdr:clientData/>
  </xdr:twoCellAnchor>
  <xdr:twoCellAnchor>
    <xdr:from>
      <xdr:col>0</xdr:col>
      <xdr:colOff>47625</xdr:colOff>
      <xdr:row>15</xdr:row>
      <xdr:rowOff>38101</xdr:rowOff>
    </xdr:from>
    <xdr:to>
      <xdr:col>12</xdr:col>
      <xdr:colOff>85725</xdr:colOff>
      <xdr:row>19</xdr:row>
      <xdr:rowOff>76201</xdr:rowOff>
    </xdr:to>
    <xdr:sp macro="" textlink="">
      <xdr:nvSpPr>
        <xdr:cNvPr id="9" name="Retângulo de cantos arredondados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47625" y="1619251"/>
          <a:ext cx="7353300" cy="1066800"/>
        </a:xfrm>
        <a:prstGeom prst="roundRect">
          <a:avLst/>
        </a:prstGeom>
        <a:noFill/>
        <a:ln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0</xdr:col>
      <xdr:colOff>0</xdr:colOff>
      <xdr:row>24</xdr:row>
      <xdr:rowOff>38100</xdr:rowOff>
    </xdr:from>
    <xdr:to>
      <xdr:col>1</xdr:col>
      <xdr:colOff>590282</xdr:colOff>
      <xdr:row>30</xdr:row>
      <xdr:rowOff>94982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duotone>
            <a:schemeClr val="bg2">
              <a:shade val="45000"/>
              <a:satMod val="135000"/>
            </a:schemeClr>
            <a:prstClr val="white"/>
          </a:duotone>
        </a:blip>
        <a:stretch>
          <a:fillRect/>
        </a:stretch>
      </xdr:blipFill>
      <xdr:spPr>
        <a:xfrm>
          <a:off x="0" y="3562350"/>
          <a:ext cx="1199882" cy="1199882"/>
        </a:xfrm>
        <a:prstGeom prst="rect">
          <a:avLst/>
        </a:prstGeom>
      </xdr:spPr>
    </xdr:pic>
    <xdr:clientData/>
  </xdr:twoCellAnchor>
  <xdr:twoCellAnchor editAs="oneCell">
    <xdr:from>
      <xdr:col>7</xdr:col>
      <xdr:colOff>466725</xdr:colOff>
      <xdr:row>25</xdr:row>
      <xdr:rowOff>9525</xdr:rowOff>
    </xdr:from>
    <xdr:to>
      <xdr:col>8</xdr:col>
      <xdr:colOff>609332</xdr:colOff>
      <xdr:row>28</xdr:row>
      <xdr:rowOff>190232</xdr:rowOff>
    </xdr:to>
    <xdr:pic>
      <xdr:nvPicPr>
        <xdr:cNvPr id="8" name="Imagem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duotone>
            <a:schemeClr val="bg2">
              <a:shade val="45000"/>
              <a:satMod val="135000"/>
            </a:schemeClr>
            <a:prstClr val="white"/>
          </a:duotone>
        </a:blip>
        <a:stretch>
          <a:fillRect/>
        </a:stretch>
      </xdr:blipFill>
      <xdr:spPr>
        <a:xfrm>
          <a:off x="4733925" y="3724275"/>
          <a:ext cx="752207" cy="752207"/>
        </a:xfrm>
        <a:prstGeom prst="rect">
          <a:avLst/>
        </a:prstGeom>
      </xdr:spPr>
    </xdr:pic>
    <xdr:clientData/>
  </xdr:twoCellAnchor>
  <xdr:twoCellAnchor editAs="oneCell">
    <xdr:from>
      <xdr:col>5</xdr:col>
      <xdr:colOff>85724</xdr:colOff>
      <xdr:row>25</xdr:row>
      <xdr:rowOff>19135</xdr:rowOff>
    </xdr:from>
    <xdr:to>
      <xdr:col>7</xdr:col>
      <xdr:colOff>552449</xdr:colOff>
      <xdr:row>29</xdr:row>
      <xdr:rowOff>180777</xdr:rowOff>
    </xdr:to>
    <xdr:pic>
      <xdr:nvPicPr>
        <xdr:cNvPr id="10" name="Imagem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</a:blip>
        <a:stretch>
          <a:fillRect/>
        </a:stretch>
      </xdr:blipFill>
      <xdr:spPr>
        <a:xfrm>
          <a:off x="3133724" y="3733885"/>
          <a:ext cx="1685925" cy="923642"/>
        </a:xfrm>
        <a:prstGeom prst="rect">
          <a:avLst/>
        </a:prstGeom>
      </xdr:spPr>
    </xdr:pic>
    <xdr:clientData/>
  </xdr:twoCellAnchor>
  <xdr:twoCellAnchor editAs="oneCell">
    <xdr:from>
      <xdr:col>1</xdr:col>
      <xdr:colOff>466725</xdr:colOff>
      <xdr:row>24</xdr:row>
      <xdr:rowOff>133350</xdr:rowOff>
    </xdr:from>
    <xdr:to>
      <xdr:col>5</xdr:col>
      <xdr:colOff>171182</xdr:colOff>
      <xdr:row>32</xdr:row>
      <xdr:rowOff>152132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 cstate="email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1076325" y="3657600"/>
          <a:ext cx="2142857" cy="1542782"/>
        </a:xfrm>
        <a:prstGeom prst="rect">
          <a:avLst/>
        </a:prstGeom>
      </xdr:spPr>
    </xdr:pic>
    <xdr:clientData/>
  </xdr:twoCellAnchor>
  <xdr:twoCellAnchor editAs="oneCell">
    <xdr:from>
      <xdr:col>9</xdr:col>
      <xdr:colOff>1</xdr:colOff>
      <xdr:row>24</xdr:row>
      <xdr:rowOff>161925</xdr:rowOff>
    </xdr:from>
    <xdr:to>
      <xdr:col>12</xdr:col>
      <xdr:colOff>159879</xdr:colOff>
      <xdr:row>31</xdr:row>
      <xdr:rowOff>56919</xdr:rowOff>
    </xdr:to>
    <xdr:pic>
      <xdr:nvPicPr>
        <xdr:cNvPr id="12" name="Imagem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>
          <a:duotone>
            <a:schemeClr val="bg2">
              <a:shade val="45000"/>
              <a:satMod val="135000"/>
            </a:schemeClr>
            <a:prstClr val="white"/>
          </a:duotone>
        </a:blip>
        <a:srcRect t="17528"/>
        <a:stretch/>
      </xdr:blipFill>
      <xdr:spPr>
        <a:xfrm>
          <a:off x="5486401" y="3686175"/>
          <a:ext cx="1988678" cy="1228494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30</xdr:row>
      <xdr:rowOff>123825</xdr:rowOff>
    </xdr:from>
    <xdr:to>
      <xdr:col>12</xdr:col>
      <xdr:colOff>314325</xdr:colOff>
      <xdr:row>30</xdr:row>
      <xdr:rowOff>123825</xdr:rowOff>
    </xdr:to>
    <xdr:cxnSp macro="">
      <xdr:nvCxnSpPr>
        <xdr:cNvPr id="15" name="Conector reto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CxnSpPr/>
      </xdr:nvCxnSpPr>
      <xdr:spPr>
        <a:xfrm>
          <a:off x="142875" y="4791075"/>
          <a:ext cx="7486650" cy="0"/>
        </a:xfrm>
        <a:prstGeom prst="line">
          <a:avLst/>
        </a:prstGeom>
        <a:ln>
          <a:solidFill>
            <a:schemeClr val="bg1">
              <a:lumMod val="50000"/>
            </a:schemeClr>
          </a:solidFill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2057400</xdr:colOff>
      <xdr:row>7</xdr:row>
      <xdr:rowOff>123825</xdr:rowOff>
    </xdr:from>
    <xdr:to>
      <xdr:col>1</xdr:col>
      <xdr:colOff>4057650</xdr:colOff>
      <xdr:row>9</xdr:row>
      <xdr:rowOff>190500</xdr:rowOff>
    </xdr:to>
    <xdr:sp macro="[0]!instrucoes_formatacao" textlink="">
      <xdr:nvSpPr>
        <xdr:cNvPr id="2" name="Seta para a direita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2667000" y="3057525"/>
          <a:ext cx="2000250" cy="600075"/>
        </a:xfrm>
        <a:prstGeom prst="rightArrow">
          <a:avLst/>
        </a:prstGeom>
        <a:gradFill flip="none" rotWithShape="1">
          <a:gsLst>
            <a:gs pos="0">
              <a:schemeClr val="accent1">
                <a:shade val="30000"/>
                <a:satMod val="115000"/>
              </a:schemeClr>
            </a:gs>
            <a:gs pos="50000">
              <a:schemeClr val="accent1">
                <a:shade val="67500"/>
                <a:satMod val="115000"/>
              </a:schemeClr>
            </a:gs>
            <a:gs pos="100000">
              <a:schemeClr val="accent1">
                <a:shade val="100000"/>
                <a:satMod val="115000"/>
              </a:schemeClr>
            </a:gs>
          </a:gsLst>
          <a:path path="circle">
            <a:fillToRect l="50000" t="50000" r="50000" b="50000"/>
          </a:path>
          <a:tileRect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pt-BR" sz="1200" b="1"/>
            <a:t>CLIQUE PARA CONTINUAR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781355</xdr:colOff>
      <xdr:row>1</xdr:row>
      <xdr:rowOff>190500</xdr:rowOff>
    </xdr:to>
    <xdr:pic>
      <xdr:nvPicPr>
        <xdr:cNvPr id="3" name="Imagem 2" descr="http://upload.wikimedia.org/wikipedia/commons/7/7c/Multilaser_logo.png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b="27210"/>
        <a:stretch/>
      </xdr:blipFill>
      <xdr:spPr bwMode="auto">
        <a:xfrm>
          <a:off x="0" y="0"/>
          <a:ext cx="781355" cy="333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1</xdr:colOff>
      <xdr:row>1</xdr:row>
      <xdr:rowOff>276225</xdr:rowOff>
    </xdr:from>
    <xdr:to>
      <xdr:col>0</xdr:col>
      <xdr:colOff>704850</xdr:colOff>
      <xdr:row>1</xdr:row>
      <xdr:rowOff>685800</xdr:rowOff>
    </xdr:to>
    <xdr:grpSp>
      <xdr:nvGrpSpPr>
        <xdr:cNvPr id="7" name="Grupo 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pSpPr/>
      </xdr:nvGrpSpPr>
      <xdr:grpSpPr>
        <a:xfrm>
          <a:off x="1" y="419100"/>
          <a:ext cx="704849" cy="409575"/>
          <a:chOff x="6496050" y="533400"/>
          <a:chExt cx="800100" cy="447675"/>
        </a:xfrm>
      </xdr:grpSpPr>
      <xdr:sp macro="" textlink="">
        <xdr:nvSpPr>
          <xdr:cNvPr id="5" name="Seta para a direita 4">
            <a:extLst>
              <a:ext uri="{FF2B5EF4-FFF2-40B4-BE49-F238E27FC236}">
                <a16:creationId xmlns:a16="http://schemas.microsoft.com/office/drawing/2014/main" id="{00000000-0008-0000-0100-000005000000}"/>
              </a:ext>
            </a:extLst>
          </xdr:cNvPr>
          <xdr:cNvSpPr/>
        </xdr:nvSpPr>
        <xdr:spPr>
          <a:xfrm rot="10800000">
            <a:off x="6496050" y="533400"/>
            <a:ext cx="800100" cy="447675"/>
          </a:xfrm>
          <a:prstGeom prst="rightArrow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900" b="1"/>
          </a:p>
        </xdr:txBody>
      </xdr:sp>
      <xdr:sp macro="" textlink="">
        <xdr:nvSpPr>
          <xdr:cNvPr id="6" name="CaixaDeTexto 5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 txBox="1"/>
        </xdr:nvSpPr>
        <xdr:spPr>
          <a:xfrm>
            <a:off x="6600824" y="666750"/>
            <a:ext cx="695325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900" b="1">
                <a:solidFill>
                  <a:schemeClr val="bg1"/>
                </a:solidFill>
              </a:rPr>
              <a:t>VOLTAR</a:t>
            </a:r>
          </a:p>
        </xdr:txBody>
      </xdr:sp>
    </xdr:grpSp>
    <xdr:clientData/>
  </xdr:twoCellAnchor>
  <xdr:twoCellAnchor>
    <xdr:from>
      <xdr:col>0</xdr:col>
      <xdr:colOff>819149</xdr:colOff>
      <xdr:row>1</xdr:row>
      <xdr:rowOff>619125</xdr:rowOff>
    </xdr:from>
    <xdr:to>
      <xdr:col>3</xdr:col>
      <xdr:colOff>495299</xdr:colOff>
      <xdr:row>5</xdr:row>
      <xdr:rowOff>266700</xdr:rowOff>
    </xdr:to>
    <xdr:sp macro="" textlink="">
      <xdr:nvSpPr>
        <xdr:cNvPr id="8" name="CaixaDeTexto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 txBox="1"/>
      </xdr:nvSpPr>
      <xdr:spPr>
        <a:xfrm>
          <a:off x="819149" y="762000"/>
          <a:ext cx="8296275" cy="162877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600" b="1" baseline="0">
              <a:solidFill>
                <a:schemeClr val="dk1"/>
              </a:solidFill>
              <a:latin typeface="+mn-lt"/>
              <a:ea typeface="+mn-ea"/>
              <a:cs typeface="+mn-cs"/>
            </a:rPr>
            <a:t>Neste teste de Excel, avaliaremos seus conhecimentos sobre alguns assuntos, ferramentas e fórmulas importantes que utilizamos na Multilaser.</a:t>
          </a:r>
        </a:p>
        <a:p>
          <a:pPr marL="0" indent="0"/>
          <a:r>
            <a:rPr lang="pt-BR" sz="1600" b="1" baseline="0">
              <a:solidFill>
                <a:schemeClr val="dk1"/>
              </a:solidFill>
              <a:latin typeface="+mn-lt"/>
              <a:ea typeface="+mn-ea"/>
              <a:cs typeface="+mn-cs"/>
            </a:rPr>
            <a:t>Para fazer es</a:t>
          </a:r>
          <a:r>
            <a:rPr lang="pt-BR" sz="1600" b="1"/>
            <a:t>te teste, siga passo a passo as instruções. </a:t>
          </a:r>
        </a:p>
        <a:p>
          <a:r>
            <a:rPr lang="pt-BR" sz="1600" b="1"/>
            <a:t>Leia todas as informações com calma. Caso não saiba responder alguma questão, deixe em branco e continue a avaliação.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866775</xdr:colOff>
      <xdr:row>0</xdr:row>
      <xdr:rowOff>0</xdr:rowOff>
    </xdr:from>
    <xdr:to>
      <xdr:col>1</xdr:col>
      <xdr:colOff>162230</xdr:colOff>
      <xdr:row>1</xdr:row>
      <xdr:rowOff>142875</xdr:rowOff>
    </xdr:to>
    <xdr:pic>
      <xdr:nvPicPr>
        <xdr:cNvPr id="2" name="Imagem 1" descr="http://upload.wikimedia.org/wikipedia/commons/7/7c/Multilaser_logo.png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b="27210"/>
        <a:stretch/>
      </xdr:blipFill>
      <xdr:spPr bwMode="auto">
        <a:xfrm>
          <a:off x="866775" y="0"/>
          <a:ext cx="781355" cy="333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114300</xdr:colOff>
      <xdr:row>30</xdr:row>
      <xdr:rowOff>66675</xdr:rowOff>
    </xdr:from>
    <xdr:to>
      <xdr:col>2</xdr:col>
      <xdr:colOff>19050</xdr:colOff>
      <xdr:row>33</xdr:row>
      <xdr:rowOff>95250</xdr:rowOff>
    </xdr:to>
    <xdr:sp macro="[0]!formatacao_formulas_basicas" textlink="">
      <xdr:nvSpPr>
        <xdr:cNvPr id="3" name="Seta para a direita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114300" y="6257925"/>
          <a:ext cx="2000250" cy="600075"/>
        </a:xfrm>
        <a:prstGeom prst="rightArrow">
          <a:avLst/>
        </a:prstGeom>
        <a:gradFill flip="none" rotWithShape="1">
          <a:gsLst>
            <a:gs pos="0">
              <a:schemeClr val="accent1">
                <a:shade val="30000"/>
                <a:satMod val="115000"/>
              </a:schemeClr>
            </a:gs>
            <a:gs pos="50000">
              <a:schemeClr val="accent1">
                <a:shade val="67500"/>
                <a:satMod val="115000"/>
              </a:schemeClr>
            </a:gs>
            <a:gs pos="100000">
              <a:schemeClr val="accent1">
                <a:shade val="100000"/>
                <a:satMod val="115000"/>
              </a:schemeClr>
            </a:gs>
          </a:gsLst>
          <a:path path="circle">
            <a:fillToRect l="50000" t="50000" r="50000" b="50000"/>
          </a:path>
          <a:tileRect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pt-BR" sz="1200" b="1"/>
            <a:t>CLIQUE PARA CONTINUAR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557213</xdr:colOff>
      <xdr:row>1</xdr:row>
      <xdr:rowOff>123826</xdr:rowOff>
    </xdr:to>
    <xdr:sp macro="" textlink="">
      <xdr:nvSpPr>
        <xdr:cNvPr id="4" name="Seta para baixo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 rot="5400000">
          <a:off x="121444" y="-121444"/>
          <a:ext cx="314326" cy="557213"/>
        </a:xfrm>
        <a:prstGeom prst="downArrow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rtlCol="0" anchor="ctr"/>
        <a:lstStyle/>
        <a:p>
          <a:pPr algn="ctr"/>
          <a:r>
            <a:rPr lang="pt-BR" sz="900" b="1"/>
            <a:t>VOLTAR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22</xdr:row>
      <xdr:rowOff>0</xdr:rowOff>
    </xdr:from>
    <xdr:to>
      <xdr:col>2</xdr:col>
      <xdr:colOff>238125</xdr:colOff>
      <xdr:row>25</xdr:row>
      <xdr:rowOff>28575</xdr:rowOff>
    </xdr:to>
    <xdr:sp macro="[0]!formulas_basicas_porcentagem" textlink="">
      <xdr:nvSpPr>
        <xdr:cNvPr id="2" name="Seta para a direita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0" y="3714750"/>
          <a:ext cx="2000250" cy="600075"/>
        </a:xfrm>
        <a:prstGeom prst="rightArrow">
          <a:avLst/>
        </a:prstGeom>
        <a:gradFill flip="none" rotWithShape="1">
          <a:gsLst>
            <a:gs pos="0">
              <a:schemeClr val="accent1">
                <a:shade val="30000"/>
                <a:satMod val="115000"/>
              </a:schemeClr>
            </a:gs>
            <a:gs pos="50000">
              <a:schemeClr val="accent1">
                <a:shade val="67500"/>
                <a:satMod val="115000"/>
              </a:schemeClr>
            </a:gs>
            <a:gs pos="100000">
              <a:schemeClr val="accent1">
                <a:shade val="100000"/>
                <a:satMod val="115000"/>
              </a:schemeClr>
            </a:gs>
          </a:gsLst>
          <a:path path="circle">
            <a:fillToRect l="50000" t="50000" r="50000" b="50000"/>
          </a:path>
          <a:tileRect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pt-BR" sz="1200" b="1"/>
            <a:t>CLIQUE PARA CONTINUAR</a:t>
          </a:r>
        </a:p>
      </xdr:txBody>
    </xdr:sp>
    <xdr:clientData/>
  </xdr:twoCellAnchor>
  <xdr:twoCellAnchor editAs="oneCell">
    <xdr:from>
      <xdr:col>1</xdr:col>
      <xdr:colOff>38100</xdr:colOff>
      <xdr:row>0</xdr:row>
      <xdr:rowOff>0</xdr:rowOff>
    </xdr:from>
    <xdr:to>
      <xdr:col>1</xdr:col>
      <xdr:colOff>819455</xdr:colOff>
      <xdr:row>1</xdr:row>
      <xdr:rowOff>0</xdr:rowOff>
    </xdr:to>
    <xdr:pic>
      <xdr:nvPicPr>
        <xdr:cNvPr id="3" name="Imagem 2" descr="http://upload.wikimedia.org/wikipedia/commons/7/7c/Multilaser_logo.png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b="27210"/>
        <a:stretch/>
      </xdr:blipFill>
      <xdr:spPr bwMode="auto">
        <a:xfrm>
          <a:off x="952500" y="0"/>
          <a:ext cx="781355" cy="333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0</xdr:colOff>
      <xdr:row>0</xdr:row>
      <xdr:rowOff>0</xdr:rowOff>
    </xdr:from>
    <xdr:to>
      <xdr:col>0</xdr:col>
      <xdr:colOff>557213</xdr:colOff>
      <xdr:row>0</xdr:row>
      <xdr:rowOff>314326</xdr:rowOff>
    </xdr:to>
    <xdr:sp macro="" textlink="">
      <xdr:nvSpPr>
        <xdr:cNvPr id="4" name="Seta para baixo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 rot="5400000">
          <a:off x="121444" y="-121444"/>
          <a:ext cx="314326" cy="557213"/>
        </a:xfrm>
        <a:prstGeom prst="downArrow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rtlCol="0" anchor="ctr"/>
        <a:lstStyle/>
        <a:p>
          <a:pPr algn="ctr"/>
          <a:r>
            <a:rPr lang="pt-BR" sz="900" b="1"/>
            <a:t>VOLTAR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95250</xdr:colOff>
      <xdr:row>0</xdr:row>
      <xdr:rowOff>0</xdr:rowOff>
    </xdr:from>
    <xdr:to>
      <xdr:col>1</xdr:col>
      <xdr:colOff>876605</xdr:colOff>
      <xdr:row>1</xdr:row>
      <xdr:rowOff>28575</xdr:rowOff>
    </xdr:to>
    <xdr:pic>
      <xdr:nvPicPr>
        <xdr:cNvPr id="2" name="Imagem 1" descr="http://upload.wikimedia.org/wikipedia/commons/7/7c/Multilaser_logo.png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b="27210"/>
        <a:stretch/>
      </xdr:blipFill>
      <xdr:spPr bwMode="auto">
        <a:xfrm>
          <a:off x="857250" y="0"/>
          <a:ext cx="781355" cy="333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0</xdr:colOff>
      <xdr:row>38</xdr:row>
      <xdr:rowOff>47625</xdr:rowOff>
    </xdr:from>
    <xdr:to>
      <xdr:col>2</xdr:col>
      <xdr:colOff>257175</xdr:colOff>
      <xdr:row>41</xdr:row>
      <xdr:rowOff>76200</xdr:rowOff>
    </xdr:to>
    <xdr:sp macro="[0]!porcentagem_analise_vendas" textlink="">
      <xdr:nvSpPr>
        <xdr:cNvPr id="3" name="Seta para a direita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0" y="7877175"/>
          <a:ext cx="2000250" cy="600075"/>
        </a:xfrm>
        <a:prstGeom prst="rightArrow">
          <a:avLst/>
        </a:prstGeom>
        <a:gradFill flip="none" rotWithShape="1">
          <a:gsLst>
            <a:gs pos="0">
              <a:schemeClr val="accent1">
                <a:shade val="30000"/>
                <a:satMod val="115000"/>
              </a:schemeClr>
            </a:gs>
            <a:gs pos="50000">
              <a:schemeClr val="accent1">
                <a:shade val="67500"/>
                <a:satMod val="115000"/>
              </a:schemeClr>
            </a:gs>
            <a:gs pos="100000">
              <a:schemeClr val="accent1">
                <a:shade val="100000"/>
                <a:satMod val="115000"/>
              </a:schemeClr>
            </a:gs>
          </a:gsLst>
          <a:path path="circle">
            <a:fillToRect l="50000" t="50000" r="50000" b="50000"/>
          </a:path>
          <a:tileRect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pt-BR" sz="1200" b="1"/>
            <a:t>CLIQUE PARA CONTINUAR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557213</xdr:colOff>
      <xdr:row>1</xdr:row>
      <xdr:rowOff>9526</xdr:rowOff>
    </xdr:to>
    <xdr:sp macro="" textlink="">
      <xdr:nvSpPr>
        <xdr:cNvPr id="4" name="Seta para baixo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 rot="5400000">
          <a:off x="121444" y="-121444"/>
          <a:ext cx="314326" cy="557213"/>
        </a:xfrm>
        <a:prstGeom prst="downArrow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rtlCol="0" anchor="ctr"/>
        <a:lstStyle/>
        <a:p>
          <a:pPr algn="ctr"/>
          <a:r>
            <a:rPr lang="pt-BR" sz="900" b="1"/>
            <a:t>VOLTAR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247650</xdr:colOff>
      <xdr:row>0</xdr:row>
      <xdr:rowOff>0</xdr:rowOff>
    </xdr:from>
    <xdr:to>
      <xdr:col>1</xdr:col>
      <xdr:colOff>1029005</xdr:colOff>
      <xdr:row>1</xdr:row>
      <xdr:rowOff>19050</xdr:rowOff>
    </xdr:to>
    <xdr:pic>
      <xdr:nvPicPr>
        <xdr:cNvPr id="2" name="Imagem 1" descr="http://upload.wikimedia.org/wikipedia/commons/7/7c/Multilaser_logo.png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b="27210"/>
        <a:stretch/>
      </xdr:blipFill>
      <xdr:spPr bwMode="auto">
        <a:xfrm>
          <a:off x="962025" y="0"/>
          <a:ext cx="781355" cy="333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52386</xdr:colOff>
      <xdr:row>0</xdr:row>
      <xdr:rowOff>66677</xdr:rowOff>
    </xdr:from>
    <xdr:to>
      <xdr:col>0</xdr:col>
      <xdr:colOff>609599</xdr:colOff>
      <xdr:row>1</xdr:row>
      <xdr:rowOff>66678</xdr:rowOff>
    </xdr:to>
    <xdr:sp macro="" textlink="">
      <xdr:nvSpPr>
        <xdr:cNvPr id="5" name="Seta para baixo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/>
      </xdr:nvSpPr>
      <xdr:spPr>
        <a:xfrm rot="5400000">
          <a:off x="173830" y="-54767"/>
          <a:ext cx="314326" cy="557213"/>
        </a:xfrm>
        <a:prstGeom prst="downArrow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rtlCol="0" anchor="ctr"/>
        <a:lstStyle/>
        <a:p>
          <a:pPr algn="ctr"/>
          <a:r>
            <a:rPr lang="pt-BR" sz="900" b="1"/>
            <a:t>VOLTAR</a:t>
          </a:r>
        </a:p>
      </xdr:txBody>
    </xdr:sp>
    <xdr:clientData/>
  </xdr:twoCellAnchor>
  <xdr:twoCellAnchor>
    <xdr:from>
      <xdr:col>0</xdr:col>
      <xdr:colOff>0</xdr:colOff>
      <xdr:row>117</xdr:row>
      <xdr:rowOff>104775</xdr:rowOff>
    </xdr:from>
    <xdr:to>
      <xdr:col>2</xdr:col>
      <xdr:colOff>590550</xdr:colOff>
      <xdr:row>120</xdr:row>
      <xdr:rowOff>133350</xdr:rowOff>
    </xdr:to>
    <xdr:sp macro="[0]!analise_vendas_finalizacao" textlink="">
      <xdr:nvSpPr>
        <xdr:cNvPr id="4" name="Seta para a direita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>
        <a:xfrm>
          <a:off x="0" y="11791950"/>
          <a:ext cx="2000250" cy="600075"/>
        </a:xfrm>
        <a:prstGeom prst="rightArrow">
          <a:avLst/>
        </a:prstGeom>
        <a:gradFill flip="none" rotWithShape="1">
          <a:gsLst>
            <a:gs pos="0">
              <a:schemeClr val="accent1">
                <a:shade val="30000"/>
                <a:satMod val="115000"/>
              </a:schemeClr>
            </a:gs>
            <a:gs pos="50000">
              <a:schemeClr val="accent1">
                <a:shade val="67500"/>
                <a:satMod val="115000"/>
              </a:schemeClr>
            </a:gs>
            <a:gs pos="100000">
              <a:schemeClr val="accent1">
                <a:shade val="100000"/>
                <a:satMod val="115000"/>
              </a:schemeClr>
            </a:gs>
          </a:gsLst>
          <a:path path="circle">
            <a:fillToRect l="50000" t="50000" r="50000" b="50000"/>
          </a:path>
          <a:tileRect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pt-BR" sz="1200" b="1"/>
            <a:t>CLIQUE PARA FINALIZAR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77</xdr:row>
          <xdr:rowOff>9525</xdr:rowOff>
        </xdr:from>
        <xdr:to>
          <xdr:col>1</xdr:col>
          <xdr:colOff>200025</xdr:colOff>
          <xdr:row>77</xdr:row>
          <xdr:rowOff>180975</xdr:rowOff>
        </xdr:to>
        <xdr:sp macro="" textlink="">
          <xdr:nvSpPr>
            <xdr:cNvPr id="6146" name="Spinner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2</xdr:col>
      <xdr:colOff>291039</xdr:colOff>
      <xdr:row>122</xdr:row>
      <xdr:rowOff>4233</xdr:rowOff>
    </xdr:from>
    <xdr:to>
      <xdr:col>12</xdr:col>
      <xdr:colOff>243415</xdr:colOff>
      <xdr:row>139</xdr:row>
      <xdr:rowOff>158749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101601</xdr:colOff>
      <xdr:row>155</xdr:row>
      <xdr:rowOff>1</xdr:rowOff>
    </xdr:from>
    <xdr:to>
      <xdr:col>1</xdr:col>
      <xdr:colOff>1397000</xdr:colOff>
      <xdr:row>159</xdr:row>
      <xdr:rowOff>158751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META POR VALOR TOTAL">
              <a:extLst>
                <a:ext uri="{FF2B5EF4-FFF2-40B4-BE49-F238E27FC236}">
                  <a16:creationId xmlns:a16="http://schemas.microsoft.com/office/drawing/2014/main" id="{00000000-0008-0000-0500-00000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TA POR VALOR TOTAL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1601" y="30416501"/>
              <a:ext cx="2396066" cy="9207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4</xdr:col>
      <xdr:colOff>222249</xdr:colOff>
      <xdr:row>144</xdr:row>
      <xdr:rowOff>4233</xdr:rowOff>
    </xdr:from>
    <xdr:to>
      <xdr:col>13</xdr:col>
      <xdr:colOff>857249</xdr:colOff>
      <xdr:row>161</xdr:row>
      <xdr:rowOff>179917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79</xdr:row>
          <xdr:rowOff>180975</xdr:rowOff>
        </xdr:from>
        <xdr:to>
          <xdr:col>1</xdr:col>
          <xdr:colOff>190500</xdr:colOff>
          <xdr:row>80</xdr:row>
          <xdr:rowOff>171450</xdr:rowOff>
        </xdr:to>
        <xdr:sp macro="" textlink="">
          <xdr:nvSpPr>
            <xdr:cNvPr id="6150" name="Spinner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5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90</xdr:row>
          <xdr:rowOff>9525</xdr:rowOff>
        </xdr:from>
        <xdr:to>
          <xdr:col>0</xdr:col>
          <xdr:colOff>952500</xdr:colOff>
          <xdr:row>90</xdr:row>
          <xdr:rowOff>180975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05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SALVAR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219075</xdr:colOff>
      <xdr:row>6</xdr:row>
      <xdr:rowOff>104775</xdr:rowOff>
    </xdr:from>
    <xdr:to>
      <xdr:col>11</xdr:col>
      <xdr:colOff>314325</xdr:colOff>
      <xdr:row>10</xdr:row>
      <xdr:rowOff>188079</xdr:rowOff>
    </xdr:to>
    <xdr:pic>
      <xdr:nvPicPr>
        <xdr:cNvPr id="2" name="Imagem 1" descr="http://upload.wikimedia.org/wikipedia/commons/7/7c/Multilaser_logo.png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b="27210"/>
        <a:stretch/>
      </xdr:blipFill>
      <xdr:spPr bwMode="auto">
        <a:xfrm>
          <a:off x="6791325" y="2409825"/>
          <a:ext cx="1981200" cy="84530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173690</xdr:colOff>
      <xdr:row>5</xdr:row>
      <xdr:rowOff>173692</xdr:rowOff>
    </xdr:from>
    <xdr:to>
      <xdr:col>7</xdr:col>
      <xdr:colOff>493058</xdr:colOff>
      <xdr:row>24</xdr:row>
      <xdr:rowOff>2241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0.80322</cdr:x>
      <cdr:y>0.10089</cdr:y>
    </cdr:from>
    <cdr:to>
      <cdr:x>0.80322</cdr:x>
      <cdr:y>0.89911</cdr:y>
    </cdr:to>
    <cdr:cxnSp macro="">
      <cdr:nvCxnSpPr>
        <cdr:cNvPr id="3" name="Conector reto 2">
          <a:extLst xmlns:a="http://schemas.openxmlformats.org/drawingml/2006/main">
            <a:ext uri="{FF2B5EF4-FFF2-40B4-BE49-F238E27FC236}">
              <a16:creationId xmlns:a16="http://schemas.microsoft.com/office/drawing/2014/main" id="{AA9F28E9-2CD3-4326-8BA5-2484D66D8FAA}"/>
            </a:ext>
          </a:extLst>
        </cdr:cNvPr>
        <cdr:cNvCxnSpPr/>
      </cdr:nvCxnSpPr>
      <cdr:spPr>
        <a:xfrm xmlns:a="http://schemas.openxmlformats.org/drawingml/2006/main" flipV="1">
          <a:off x="4276726" y="323851"/>
          <a:ext cx="0" cy="2562225"/>
        </a:xfrm>
        <a:prstGeom xmlns:a="http://schemas.openxmlformats.org/drawingml/2006/main" prst="line">
          <a:avLst/>
        </a:prstGeom>
        <a:ln xmlns:a="http://schemas.openxmlformats.org/drawingml/2006/main">
          <a:solidFill>
            <a:schemeClr val="bg1">
              <a:lumMod val="65000"/>
            </a:schemeClr>
          </a:solidFill>
        </a:ln>
      </cdr:spPr>
      <cdr:style>
        <a:lnRef xmlns:a="http://schemas.openxmlformats.org/drawingml/2006/main" idx="3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2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95250</xdr:rowOff>
    </xdr:from>
    <xdr:to>
      <xdr:col>1</xdr:col>
      <xdr:colOff>95249</xdr:colOff>
      <xdr:row>2</xdr:row>
      <xdr:rowOff>123825</xdr:rowOff>
    </xdr:to>
    <xdr:grpSp>
      <xdr:nvGrpSpPr>
        <xdr:cNvPr id="3" name="Grupo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pSpPr/>
      </xdr:nvGrpSpPr>
      <xdr:grpSpPr>
        <a:xfrm>
          <a:off x="0" y="95250"/>
          <a:ext cx="704849" cy="409575"/>
          <a:chOff x="6496050" y="533400"/>
          <a:chExt cx="800100" cy="447675"/>
        </a:xfrm>
      </xdr:grpSpPr>
      <xdr:sp macro="" textlink="">
        <xdr:nvSpPr>
          <xdr:cNvPr id="4" name="Seta para a direita 3">
            <a:extLst>
              <a:ext uri="{FF2B5EF4-FFF2-40B4-BE49-F238E27FC236}">
                <a16:creationId xmlns:a16="http://schemas.microsoft.com/office/drawing/2014/main" id="{00000000-0008-0000-0800-000004000000}"/>
              </a:ext>
            </a:extLst>
          </xdr:cNvPr>
          <xdr:cNvSpPr/>
        </xdr:nvSpPr>
        <xdr:spPr>
          <a:xfrm rot="10800000">
            <a:off x="6496050" y="533400"/>
            <a:ext cx="800100" cy="447675"/>
          </a:xfrm>
          <a:prstGeom prst="rightArrow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900" b="1"/>
          </a:p>
        </xdr:txBody>
      </xdr:sp>
      <xdr:sp macro="" textlink="">
        <xdr:nvSpPr>
          <xdr:cNvPr id="5" name="CaixaDeTexto 4">
            <a:extLst>
              <a:ext uri="{FF2B5EF4-FFF2-40B4-BE49-F238E27FC236}">
                <a16:creationId xmlns:a16="http://schemas.microsoft.com/office/drawing/2014/main" id="{00000000-0008-0000-0800-000005000000}"/>
              </a:ext>
            </a:extLst>
          </xdr:cNvPr>
          <xdr:cNvSpPr txBox="1"/>
        </xdr:nvSpPr>
        <xdr:spPr>
          <a:xfrm>
            <a:off x="6600824" y="666750"/>
            <a:ext cx="695325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900" b="1">
                <a:solidFill>
                  <a:schemeClr val="bg1"/>
                </a:solidFill>
              </a:rPr>
              <a:t>INÍCIO</a:t>
            </a:r>
          </a:p>
        </xdr:txBody>
      </xdr:sp>
    </xdr:grpSp>
    <xdr:clientData/>
  </xdr:twoCellAnchor>
  <xdr:twoCellAnchor editAs="oneCell">
    <xdr:from>
      <xdr:col>7</xdr:col>
      <xdr:colOff>419101</xdr:colOff>
      <xdr:row>0</xdr:row>
      <xdr:rowOff>171449</xdr:rowOff>
    </xdr:from>
    <xdr:to>
      <xdr:col>9</xdr:col>
      <xdr:colOff>83673</xdr:colOff>
      <xdr:row>3</xdr:row>
      <xdr:rowOff>225091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duotone>
            <a:schemeClr val="accent4">
              <a:shade val="45000"/>
              <a:satMod val="135000"/>
            </a:schemeClr>
            <a:prstClr val="white"/>
          </a:duotone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artisticCutout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86301" y="171449"/>
          <a:ext cx="883772" cy="729917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rainning" refreshedDate="44268.616856018518" createdVersion="6" refreshedVersion="6" minRefreshableVersion="3" recordCount="12" xr:uid="{C6F47E07-1808-45DB-A014-288025C41474}">
  <cacheSource type="worksheet">
    <worksheetSource name="Tabela2"/>
  </cacheSource>
  <cacheFields count="9">
    <cacheField name="DATA" numFmtId="165">
      <sharedItems containsSemiMixedTypes="0" containsNonDate="0" containsDate="1" containsString="0" minDate="2014-06-01T00:00:00" maxDate="2014-06-02T00:00:00"/>
    </cacheField>
    <cacheField name="CÓDIGO" numFmtId="0">
      <sharedItems containsSemiMixedTypes="0" containsString="0" containsNumber="1" containsInteger="1" minValue="1449529" maxValue="9528758"/>
    </cacheField>
    <cacheField name="QTDE VENDIDA" numFmtId="0">
      <sharedItems containsSemiMixedTypes="0" containsString="0" containsNumber="1" containsInteger="1" minValue="3" maxValue="29"/>
    </cacheField>
    <cacheField name="DESCRIÇÃO" numFmtId="0">
      <sharedItems/>
    </cacheField>
    <cacheField name="DEPARTAMENTO" numFmtId="0">
      <sharedItems count="8">
        <s v="Informática"/>
        <s v="EletroEletronico"/>
        <s v="Segurança"/>
        <s v="Iluminação"/>
        <s v="Auto"/>
        <s v="Brinquedos"/>
        <s v="Compartimentos"/>
        <s v="Tablets"/>
      </sharedItems>
    </cacheField>
    <cacheField name="VALOR UNITÁRIO" numFmtId="44">
      <sharedItems containsSemiMixedTypes="0" containsString="0" containsNumber="1" minValue="0.45" maxValue="358"/>
    </cacheField>
    <cacheField name="VALOR TOTAL" numFmtId="44">
      <sharedItems containsSemiMixedTypes="0" containsString="0" containsNumber="1" minValue="1.8" maxValue="3580"/>
    </cacheField>
    <cacheField name="META POR VALOR TOTAL" numFmtId="44">
      <sharedItems count="2">
        <s v="Meta não atingida"/>
        <s v="Meta atingida"/>
      </sharedItems>
    </cacheField>
    <cacheField name="comissão" numFmtId="0" formula="'VALOR TOTAL'*4%" databaseField="0"/>
  </cacheFields>
  <extLst>
    <ext xmlns:x14="http://schemas.microsoft.com/office/spreadsheetml/2009/9/main" uri="{725AE2AE-9491-48be-B2B4-4EB974FC3084}">
      <x14:pivotCacheDefinition pivotCacheId="2133869836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">
  <r>
    <d v="2014-06-01T00:00:00"/>
    <n v="5876123"/>
    <n v="3"/>
    <s v="Antena para Roteador"/>
    <x v="0"/>
    <n v="15"/>
    <n v="45"/>
    <x v="0"/>
  </r>
  <r>
    <d v="2014-06-01T00:00:00"/>
    <n v="1449529"/>
    <n v="7"/>
    <s v="Boombox - Sp163"/>
    <x v="1"/>
    <n v="259"/>
    <n v="1813"/>
    <x v="1"/>
  </r>
  <r>
    <d v="2014-06-01T00:00:00"/>
    <n v="9528758"/>
    <n v="7"/>
    <s v="Cadeado"/>
    <x v="2"/>
    <n v="5"/>
    <n v="35"/>
    <x v="0"/>
  </r>
  <r>
    <d v="2014-06-01T00:00:00"/>
    <n v="4136353"/>
    <n v="9"/>
    <s v="Ciclocomputador"/>
    <x v="0"/>
    <n v="45"/>
    <n v="405"/>
    <x v="0"/>
  </r>
  <r>
    <d v="2014-06-01T00:00:00"/>
    <n v="8612645"/>
    <n v="4"/>
    <s v="Conector RJ 45"/>
    <x v="0"/>
    <n v="0.45"/>
    <n v="1.8"/>
    <x v="0"/>
  </r>
  <r>
    <d v="2014-06-01T00:00:00"/>
    <n v="4566432"/>
    <n v="29"/>
    <s v="Farol Plástico"/>
    <x v="3"/>
    <n v="15"/>
    <n v="435"/>
    <x v="0"/>
  </r>
  <r>
    <d v="2014-06-01T00:00:00"/>
    <n v="7595263"/>
    <n v="5"/>
    <s v="Freedom"/>
    <x v="4"/>
    <n v="250"/>
    <n v="1250"/>
    <x v="1"/>
  </r>
  <r>
    <d v="2014-06-01T00:00:00"/>
    <n v="5978462"/>
    <n v="26"/>
    <s v="Kit Farol"/>
    <x v="3"/>
    <n v="5"/>
    <n v="130"/>
    <x v="0"/>
  </r>
  <r>
    <d v="2014-06-01T00:00:00"/>
    <n v="7841796"/>
    <n v="6"/>
    <s v="Screet Verde - Es036"/>
    <x v="5"/>
    <n v="25"/>
    <n v="150"/>
    <x v="0"/>
  </r>
  <r>
    <d v="2014-06-01T00:00:00"/>
    <n v="6215974"/>
    <n v="10"/>
    <s v="Squeeze Bi014"/>
    <x v="6"/>
    <n v="20"/>
    <n v="200"/>
    <x v="0"/>
  </r>
  <r>
    <d v="2014-06-01T00:00:00"/>
    <n v="6258446"/>
    <n v="10"/>
    <s v="Supra Brancoi"/>
    <x v="7"/>
    <n v="358"/>
    <n v="3580"/>
    <x v="1"/>
  </r>
  <r>
    <d v="2014-06-01T00:00:00"/>
    <n v="7211231"/>
    <n v="26"/>
    <s v="Teclado Gamer - Tc167"/>
    <x v="0"/>
    <n v="40"/>
    <n v="1040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51262FA-353C-4B18-9CAF-DCD8FE422DCE}" name="Tabela dinâmica2" cacheId="1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14" rowHeaderCaption="Departamento">
  <location ref="A145:D154" firstHeaderRow="0" firstDataRow="1" firstDataCol="1"/>
  <pivotFields count="9">
    <pivotField numFmtId="165" showAll="0"/>
    <pivotField showAll="0"/>
    <pivotField dataField="1" showAll="0"/>
    <pivotField showAll="0"/>
    <pivotField axis="axisRow" showAll="0" sortType="descending">
      <items count="9">
        <item x="4"/>
        <item x="5"/>
        <item x="6"/>
        <item x="1"/>
        <item x="3"/>
        <item x="0"/>
        <item x="2"/>
        <item x="7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numFmtId="44" showAll="0"/>
    <pivotField numFmtId="44" showAll="0"/>
    <pivotField showAll="0">
      <items count="3">
        <item x="1"/>
        <item x="0"/>
        <item t="default"/>
      </items>
    </pivotField>
    <pivotField dataField="1" dragToRow="0" dragToCol="0" dragToPage="0" showAll="0" defaultSubtotal="0"/>
  </pivotFields>
  <rowFields count="1">
    <field x="4"/>
  </rowFields>
  <rowItems count="9">
    <i>
      <x v="4"/>
    </i>
    <i>
      <x v="5"/>
    </i>
    <i>
      <x v="2"/>
    </i>
    <i>
      <x v="7"/>
    </i>
    <i>
      <x v="6"/>
    </i>
    <i>
      <x v="3"/>
    </i>
    <i>
      <x v="1"/>
    </i>
    <i>
      <x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VENDAS" fld="2" baseField="0" baseItem="0"/>
    <dataField name="%" fld="2" baseField="0" baseItem="0" numFmtId="10">
      <extLst>
        <ext xmlns:x14="http://schemas.microsoft.com/office/spreadsheetml/2009/9/main" uri="{E15A36E0-9728-4e99-A89B-3F7291B0FE68}">
          <x14:dataField pivotShowAs="percentOfParentRow"/>
        </ext>
      </extLst>
    </dataField>
    <dataField name="Soma de comissão" fld="8" baseField="0" baseItem="0" numFmtId="44"/>
  </dataFields>
  <formats count="19">
    <format dxfId="38">
      <pivotArea collapsedLevelsAreSubtotals="1" fieldPosition="0">
        <references count="1">
          <reference field="4" count="0"/>
        </references>
      </pivotArea>
    </format>
    <format dxfId="37">
      <pivotArea collapsedLevelsAreSubtotals="1" fieldPosition="0">
        <references count="1">
          <reference field="4" count="0"/>
        </references>
      </pivotArea>
    </format>
    <format dxfId="36">
      <pivotArea dataOnly="0" labelOnly="1" fieldPosition="0">
        <references count="1">
          <reference field="4" count="0"/>
        </references>
      </pivotArea>
    </format>
    <format dxfId="35">
      <pivotArea outline="0" fieldPosition="0">
        <references count="1">
          <reference field="4294967294" count="1">
            <x v="1"/>
          </reference>
        </references>
      </pivotArea>
    </format>
    <format dxfId="34">
      <pivotArea grandRow="1" outline="0" collapsedLevelsAreSubtotals="1" fieldPosition="0"/>
    </format>
    <format dxfId="33">
      <pivotArea dataOnly="0" labelOnly="1" grandRow="1" outline="0" fieldPosition="0"/>
    </format>
    <format dxfId="32">
      <pivotArea grandRow="1" outline="0" collapsedLevelsAreSubtotals="1" fieldPosition="0"/>
    </format>
    <format dxfId="31">
      <pivotArea dataOnly="0" labelOnly="1" grandRow="1" outline="0" fieldPosition="0"/>
    </format>
    <format dxfId="30">
      <pivotArea grandRow="1" outline="0" collapsedLevelsAreSubtotals="1" fieldPosition="0"/>
    </format>
    <format dxfId="29">
      <pivotArea field="4" grandRow="1" outline="0" collapsedLevelsAreSubtotals="1" axis="axisRow" fieldPosition="0">
        <references count="1">
          <reference field="4294967294" count="1" selected="0">
            <x v="0"/>
          </reference>
        </references>
      </pivotArea>
    </format>
    <format dxfId="28">
      <pivotArea dataOnly="0" labelOnly="1" grandRow="1" outline="0" fieldPosition="0"/>
    </format>
    <format dxfId="27">
      <pivotArea field="4" grandRow="1" outline="0" collapsedLevelsAreSubtotals="1" axis="axisRow" fieldPosition="0">
        <references count="1">
          <reference field="4294967294" count="1" selected="0">
            <x v="0"/>
          </reference>
        </references>
      </pivotArea>
    </format>
    <format dxfId="26">
      <pivotArea field="4" grandRow="1" outline="0" collapsedLevelsAreSubtotals="1" axis="axisRow" fieldPosition="0">
        <references count="1">
          <reference field="4294967294" count="1" selected="0">
            <x v="2"/>
          </reference>
        </references>
      </pivotArea>
    </format>
    <format dxfId="25">
      <pivotArea field="4" type="button" dataOnly="0" labelOnly="1" outline="0" axis="axisRow" fieldPosition="0"/>
    </format>
    <format dxfId="2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3">
      <pivotArea collapsedLevelsAreSubtotals="1" fieldPosition="0">
        <references count="1">
          <reference field="4" count="0"/>
        </references>
      </pivotArea>
    </format>
    <format dxfId="22">
      <pivotArea dataOnly="0" labelOnly="1" fieldPosition="0">
        <references count="1">
          <reference field="4" count="0"/>
        </references>
      </pivotArea>
    </format>
    <format dxfId="21">
      <pivotArea collapsedLevelsAreSubtotals="1" fieldPosition="0">
        <references count="1">
          <reference field="4" count="0"/>
        </references>
      </pivotArea>
    </format>
    <format dxfId="20">
      <pivotArea dataOnly="0" labelOnly="1" fieldPosition="0">
        <references count="1">
          <reference field="4" count="0"/>
        </references>
      </pivotArea>
    </format>
  </formats>
  <chartFormats count="4">
    <chartFormat chart="8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3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49B39FB-C11D-47E2-AA1C-E7E2FDD3DAAA}" name="Tabela dinâmica1" cacheId="1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9" rowHeaderCaption="Departamento">
  <location ref="A123:B132" firstHeaderRow="1" firstDataRow="1" firstDataCol="1"/>
  <pivotFields count="9">
    <pivotField numFmtId="165" showAll="0"/>
    <pivotField showAll="0"/>
    <pivotField dataField="1" showAll="0"/>
    <pivotField showAll="0"/>
    <pivotField axis="axisRow" showAll="0" sortType="descending">
      <items count="9">
        <item x="4"/>
        <item x="5"/>
        <item x="6"/>
        <item x="1"/>
        <item x="3"/>
        <item x="0"/>
        <item x="2"/>
        <item x="7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numFmtId="44" showAll="0"/>
    <pivotField numFmtId="44" showAll="0"/>
    <pivotField showAll="0"/>
    <pivotField dragToRow="0" dragToCol="0" dragToPage="0" showAll="0" defaultSubtotal="0"/>
  </pivotFields>
  <rowFields count="1">
    <field x="4"/>
  </rowFields>
  <rowItems count="9">
    <i>
      <x v="4"/>
    </i>
    <i>
      <x v="5"/>
    </i>
    <i>
      <x v="2"/>
    </i>
    <i>
      <x v="7"/>
    </i>
    <i>
      <x v="6"/>
    </i>
    <i>
      <x v="3"/>
    </i>
    <i>
      <x v="1"/>
    </i>
    <i>
      <x/>
    </i>
    <i t="grand">
      <x/>
    </i>
  </rowItems>
  <colItems count="1">
    <i/>
  </colItems>
  <dataFields count="1">
    <dataField name="Soma de QTDE VENDIDA" fld="2" baseField="0" baseItem="0"/>
  </dataFields>
  <formats count="7">
    <format dxfId="45">
      <pivotArea collapsedLevelsAreSubtotals="1" fieldPosition="0">
        <references count="1">
          <reference field="4" count="0"/>
        </references>
      </pivotArea>
    </format>
    <format dxfId="44">
      <pivotArea collapsedLevelsAreSubtotals="1" fieldPosition="0">
        <references count="1">
          <reference field="4" count="0"/>
        </references>
      </pivotArea>
    </format>
    <format dxfId="43">
      <pivotArea dataOnly="0" labelOnly="1" fieldPosition="0">
        <references count="1">
          <reference field="4" count="0"/>
        </references>
      </pivotArea>
    </format>
    <format dxfId="42">
      <pivotArea collapsedLevelsAreSubtotals="1" fieldPosition="0">
        <references count="1">
          <reference field="4" count="0"/>
        </references>
      </pivotArea>
    </format>
    <format dxfId="41">
      <pivotArea dataOnly="0" labelOnly="1" fieldPosition="0">
        <references count="1">
          <reference field="4" count="0"/>
        </references>
      </pivotArea>
    </format>
    <format dxfId="40">
      <pivotArea collapsedLevelsAreSubtotals="1" fieldPosition="0">
        <references count="1">
          <reference field="4" count="0"/>
        </references>
      </pivotArea>
    </format>
    <format dxfId="39">
      <pivotArea dataOnly="0" labelOnly="1" fieldPosition="0">
        <references count="1">
          <reference field="4" count="0"/>
        </references>
      </pivotArea>
    </format>
  </formats>
  <chartFormats count="1">
    <chartFormat chart="8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META_POR_VALOR_TOTAL" xr10:uid="{1DD31A16-95BB-4CA1-B234-246BEF01C628}" sourceName="META POR VALOR TOTAL">
  <pivotTables>
    <pivotTable tabId="6" name="Tabela dinâmica2"/>
  </pivotTables>
  <data>
    <tabular pivotCacheId="2133869836">
      <items count="2">
        <i x="1" s="1"/>
        <i x="0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TA POR VALOR TOTAL" xr10:uid="{A8335C9F-F006-41BE-8FB5-57F906B164BC}" cache="SegmentaçãodeDados_META_POR_VALOR_TOTAL" caption="META POR VALOR TOTAL" rowHeight="2413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85E5A20-D417-41CB-8DB8-127DB4DDB7D7}" name="Tabela2" displayName="Tabela2" ref="A105:H117" totalsRowShown="0" headerRowDxfId="19" headerRowBorderDxfId="18" tableBorderDxfId="17" totalsRowBorderDxfId="16">
  <autoFilter ref="A105:H117" xr:uid="{3E4ACDB6-A24E-43B6-90FB-9D9E81FDAE1E}"/>
  <tableColumns count="8">
    <tableColumn id="1" xr3:uid="{14C02571-601C-464C-A0B3-2F64AB268C12}" name="DATA" dataDxfId="15"/>
    <tableColumn id="2" xr3:uid="{3E7F849F-0CCE-414E-8CA0-58B3028A9A60}" name="CÓDIGO" dataDxfId="14"/>
    <tableColumn id="3" xr3:uid="{D7679B6F-63DB-4BA6-A6BC-E8E5F25A28CC}" name="QTDE VENDIDA" dataDxfId="13"/>
    <tableColumn id="4" xr3:uid="{6E08DE3D-4379-436D-BE2C-717B39815E31}" name="DESCRIÇÃO" dataDxfId="12">
      <calculatedColumnFormula>VLOOKUP(Tabela2[[#This Row],[CÓDIGO]],Tabela3[[CÓDIGO]:[DESCRIÇÃO]],2,0)</calculatedColumnFormula>
    </tableColumn>
    <tableColumn id="5" xr3:uid="{33B5C5F1-1E67-45E7-AD2A-16804F7070E9}" name="DEPARTAMENTO" dataDxfId="11">
      <calculatedColumnFormula>VLOOKUP(Tabela2[[#This Row],[CÓDIGO]],Tabela3[[CÓDIGO]:[DEPARTAMENTO]],3,0)</calculatedColumnFormula>
    </tableColumn>
    <tableColumn id="6" xr3:uid="{64B5F89E-C2DC-4D40-9AEE-6C2D04590106}" name="VALOR UNITÁRIO" dataDxfId="10">
      <calculatedColumnFormula>VLOOKUP(Tabela2[[#This Row],[CÓDIGO]],Tabela3[],4,0)</calculatedColumnFormula>
    </tableColumn>
    <tableColumn id="7" xr3:uid="{060EE2BA-C5FD-4B49-9BA5-071C1814400E}" name="VALOR TOTAL" dataDxfId="9">
      <calculatedColumnFormula>F106*C106</calculatedColumnFormula>
    </tableColumn>
    <tableColumn id="8" xr3:uid="{CD06E6C3-CA50-44DE-8F14-075352035A22}" name="META POR VALOR TOTAL" dataDxfId="8">
      <calculatedColumnFormula>IF(Tabela2[[#This Row],[QTDE VENDIDA]]*Tabela2[[#This Row],[VALOR UNITÁRIO]]&gt;500,"Meta atingida","Meta não atingida")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9ABB9AD-3816-42A3-A235-9282A2AF4569}" name="Tabela3" displayName="Tabela3" ref="M105:P117" totalsRowShown="0" headerRowDxfId="7" headerRowBorderDxfId="6" tableBorderDxfId="5" totalsRowBorderDxfId="4">
  <autoFilter ref="M105:P117" xr:uid="{B22C84E5-8CC9-448E-A505-680524F4B6FA}"/>
  <tableColumns count="4">
    <tableColumn id="1" xr3:uid="{C096DB22-93B0-478D-99DD-74B5A25D23C9}" name="CÓDIGO" dataDxfId="3"/>
    <tableColumn id="2" xr3:uid="{02747355-2F99-4963-A098-39B820F397A2}" name="DESCRIÇÃO" dataDxfId="2"/>
    <tableColumn id="3" xr3:uid="{CC9CD23E-0AE3-48DC-BF17-43F59DE081E1}" name="DEPARTAMENTO" dataDxfId="1"/>
    <tableColumn id="4" xr3:uid="{65D3575D-78C8-4750-BC4C-2F28A50AD0FD}" name="VALOR UNITÁRIO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printerSettings" Target="../printerSettings/printerSettings1.bin"/><Relationship Id="rId7" Type="http://schemas.openxmlformats.org/officeDocument/2006/relationships/ctrlProp" Target="../ctrlProps/ctrlProp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ctrlProp" Target="../ctrlProps/ctrlProp1.xml"/><Relationship Id="rId11" Type="http://schemas.microsoft.com/office/2007/relationships/slicer" Target="../slicers/slicer1.xml"/><Relationship Id="rId5" Type="http://schemas.openxmlformats.org/officeDocument/2006/relationships/vmlDrawing" Target="../drawings/vmlDrawing1.vml"/><Relationship Id="rId10" Type="http://schemas.openxmlformats.org/officeDocument/2006/relationships/table" Target="../tables/table2.xml"/><Relationship Id="rId4" Type="http://schemas.openxmlformats.org/officeDocument/2006/relationships/drawing" Target="../drawings/drawing6.xml"/><Relationship Id="rId9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B6:H19"/>
  <sheetViews>
    <sheetView showGridLines="0" showRowColHeaders="0" workbookViewId="0">
      <selection activeCell="E19" sqref="E19:H19"/>
    </sheetView>
  </sheetViews>
  <sheetFormatPr defaultRowHeight="15" x14ac:dyDescent="0.25"/>
  <sheetData>
    <row r="6" spans="2:7" hidden="1" x14ac:dyDescent="0.25"/>
    <row r="7" spans="2:7" hidden="1" x14ac:dyDescent="0.25"/>
    <row r="8" spans="2:7" hidden="1" x14ac:dyDescent="0.25"/>
    <row r="9" spans="2:7" hidden="1" x14ac:dyDescent="0.25"/>
    <row r="10" spans="2:7" hidden="1" x14ac:dyDescent="0.25"/>
    <row r="11" spans="2:7" hidden="1" x14ac:dyDescent="0.25"/>
    <row r="12" spans="2:7" hidden="1" x14ac:dyDescent="0.25"/>
    <row r="13" spans="2:7" hidden="1" x14ac:dyDescent="0.25"/>
    <row r="14" spans="2:7" hidden="1" x14ac:dyDescent="0.25"/>
    <row r="15" spans="2:7" ht="49.5" customHeight="1" x14ac:dyDescent="0.25">
      <c r="B15" s="30"/>
      <c r="G15" s="31" t="s">
        <v>71</v>
      </c>
    </row>
    <row r="16" spans="2:7" ht="9" customHeight="1" x14ac:dyDescent="0.3">
      <c r="G16" s="25"/>
    </row>
    <row r="17" spans="4:8" ht="24" customHeight="1" x14ac:dyDescent="0.25">
      <c r="D17" s="68" t="s">
        <v>12</v>
      </c>
      <c r="E17" s="159" t="s">
        <v>145</v>
      </c>
      <c r="F17" s="159"/>
      <c r="G17" s="159"/>
      <c r="H17" s="159"/>
    </row>
    <row r="18" spans="4:8" ht="24" customHeight="1" x14ac:dyDescent="0.25">
      <c r="D18" s="68" t="s">
        <v>13</v>
      </c>
      <c r="E18" s="160"/>
      <c r="F18" s="158"/>
      <c r="G18" s="158"/>
      <c r="H18" s="158"/>
    </row>
    <row r="19" spans="4:8" ht="24" customHeight="1" x14ac:dyDescent="0.25">
      <c r="D19" s="68" t="s">
        <v>14</v>
      </c>
      <c r="E19" s="157">
        <v>44268</v>
      </c>
      <c r="F19" s="158"/>
      <c r="G19" s="158"/>
      <c r="H19" s="158"/>
    </row>
  </sheetData>
  <sheetProtection selectLockedCells="1"/>
  <mergeCells count="3">
    <mergeCell ref="E19:H19"/>
    <mergeCell ref="E17:H17"/>
    <mergeCell ref="E18:H18"/>
  </mergeCells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2"/>
  <dimension ref="B1:B7"/>
  <sheetViews>
    <sheetView showGridLines="0" showRowColHeaders="0" tabSelected="1" workbookViewId="0">
      <selection activeCell="B23" sqref="B23"/>
    </sheetView>
  </sheetViews>
  <sheetFormatPr defaultRowHeight="21" x14ac:dyDescent="0.35"/>
  <cols>
    <col min="1" max="1" width="13.28515625" customWidth="1"/>
    <col min="2" max="2" width="106.85546875" style="1" customWidth="1"/>
  </cols>
  <sheetData>
    <row r="1" spans="2:2" ht="11.25" customHeight="1" x14ac:dyDescent="0.35"/>
    <row r="2" spans="2:2" s="3" customFormat="1" ht="54.75" customHeight="1" x14ac:dyDescent="0.25">
      <c r="B2" s="2" t="str">
        <f>"Olá "&amp;INÍCIO!$E$17&amp;"!"</f>
        <v>Olá Caio lima!</v>
      </c>
    </row>
    <row r="3" spans="2:2" s="3" customFormat="1" ht="33.75" customHeight="1" x14ac:dyDescent="0.25">
      <c r="B3" s="2"/>
    </row>
    <row r="4" spans="2:2" s="3" customFormat="1" ht="33.75" customHeight="1" x14ac:dyDescent="0.25">
      <c r="B4" s="2"/>
    </row>
    <row r="5" spans="2:2" s="3" customFormat="1" ht="33.75" customHeight="1" x14ac:dyDescent="0.25">
      <c r="B5" s="2"/>
    </row>
    <row r="6" spans="2:2" s="3" customFormat="1" ht="33.75" customHeight="1" x14ac:dyDescent="0.25">
      <c r="B6" s="2"/>
    </row>
    <row r="7" spans="2:2" ht="34.5" customHeight="1" x14ac:dyDescent="0.35">
      <c r="B7" s="4" t="s">
        <v>15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3"/>
  <dimension ref="A3:N30"/>
  <sheetViews>
    <sheetView showGridLines="0" showRowColHeaders="0" workbookViewId="0"/>
  </sheetViews>
  <sheetFormatPr defaultRowHeight="15" x14ac:dyDescent="0.25"/>
  <cols>
    <col min="1" max="1" width="22.28515625" customWidth="1"/>
    <col min="3" max="3" width="16.42578125" bestFit="1" customWidth="1"/>
    <col min="4" max="4" width="14" customWidth="1"/>
    <col min="13" max="13" width="9.140625" hidden="1" customWidth="1"/>
  </cols>
  <sheetData>
    <row r="3" spans="1:14" ht="36" x14ac:dyDescent="0.55000000000000004">
      <c r="A3" s="5" t="s">
        <v>65</v>
      </c>
    </row>
    <row r="5" spans="1:14" ht="18.75" x14ac:dyDescent="0.3">
      <c r="A5" s="23" t="s">
        <v>21</v>
      </c>
      <c r="B5" s="20"/>
      <c r="C5" s="20"/>
      <c r="D5" s="20"/>
      <c r="E5" s="20"/>
      <c r="F5" s="20"/>
      <c r="G5" s="20"/>
      <c r="H5" s="20"/>
      <c r="I5" s="20"/>
      <c r="J5" s="20"/>
      <c r="K5" s="20"/>
      <c r="L5" s="20"/>
      <c r="M5" s="20" t="s">
        <v>70</v>
      </c>
      <c r="N5" s="20"/>
    </row>
    <row r="6" spans="1:14" ht="9" customHeight="1" x14ac:dyDescent="0.3">
      <c r="A6" s="32"/>
      <c r="B6" s="10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</row>
    <row r="7" spans="1:14" x14ac:dyDescent="0.25">
      <c r="A7" s="42" t="s">
        <v>74</v>
      </c>
      <c r="B7" s="43"/>
      <c r="C7" s="43"/>
      <c r="D7" s="43"/>
      <c r="E7" s="43"/>
      <c r="F7" s="43"/>
      <c r="G7" s="43"/>
      <c r="H7" s="43"/>
      <c r="I7" s="43"/>
      <c r="J7" s="43"/>
      <c r="K7" s="43"/>
      <c r="L7" s="43"/>
      <c r="M7" s="44"/>
    </row>
    <row r="8" spans="1:14" x14ac:dyDescent="0.25">
      <c r="A8" s="45" t="s">
        <v>75</v>
      </c>
      <c r="B8" s="46"/>
      <c r="C8" s="46"/>
      <c r="D8" s="46"/>
      <c r="E8" s="46"/>
      <c r="F8" s="46"/>
      <c r="G8" s="46"/>
      <c r="H8" s="46"/>
      <c r="I8" s="46"/>
      <c r="J8" s="46"/>
      <c r="K8" s="46"/>
      <c r="L8" s="46"/>
      <c r="M8" s="47"/>
    </row>
    <row r="9" spans="1:14" x14ac:dyDescent="0.25">
      <c r="A9" s="45" t="s">
        <v>104</v>
      </c>
      <c r="B9" s="46"/>
      <c r="C9" s="46"/>
      <c r="D9" s="46"/>
      <c r="E9" s="46"/>
      <c r="F9" s="46"/>
      <c r="G9" s="46"/>
      <c r="H9" s="46"/>
      <c r="I9" s="46"/>
      <c r="J9" s="46"/>
      <c r="K9" s="46"/>
      <c r="L9" s="46"/>
      <c r="M9" s="47"/>
    </row>
    <row r="10" spans="1:14" x14ac:dyDescent="0.25">
      <c r="A10" s="48" t="s">
        <v>76</v>
      </c>
      <c r="B10" s="49"/>
      <c r="C10" s="49"/>
      <c r="D10" s="49"/>
      <c r="E10" s="49"/>
      <c r="F10" s="49"/>
      <c r="G10" s="49"/>
      <c r="H10" s="49"/>
      <c r="I10" s="49"/>
      <c r="J10" s="49"/>
      <c r="K10" s="49"/>
      <c r="L10" s="49"/>
      <c r="M10" s="50"/>
    </row>
    <row r="11" spans="1:14" ht="15.75" thickBot="1" x14ac:dyDescent="0.3">
      <c r="A11" s="26"/>
    </row>
    <row r="12" spans="1:14" ht="15.75" thickBot="1" x14ac:dyDescent="0.3">
      <c r="A12" s="99" t="s">
        <v>0</v>
      </c>
      <c r="B12" s="100" t="s">
        <v>6</v>
      </c>
      <c r="C12" s="100" t="s">
        <v>7</v>
      </c>
      <c r="D12" s="101" t="s">
        <v>9</v>
      </c>
    </row>
    <row r="13" spans="1:14" x14ac:dyDescent="0.25">
      <c r="A13" s="98" t="s">
        <v>1</v>
      </c>
      <c r="B13" s="98">
        <v>10</v>
      </c>
      <c r="C13" s="102">
        <v>1</v>
      </c>
      <c r="D13" s="103">
        <v>5.5E-2</v>
      </c>
    </row>
    <row r="14" spans="1:14" x14ac:dyDescent="0.25">
      <c r="A14" s="6" t="s">
        <v>2</v>
      </c>
      <c r="B14" s="6">
        <v>20</v>
      </c>
      <c r="C14" s="8">
        <v>10</v>
      </c>
      <c r="D14" s="104">
        <v>5.6000000000000001E-2</v>
      </c>
    </row>
    <row r="15" spans="1:14" x14ac:dyDescent="0.25">
      <c r="A15" s="6" t="s">
        <v>3</v>
      </c>
      <c r="B15" s="6">
        <v>10</v>
      </c>
      <c r="C15" s="8">
        <v>0</v>
      </c>
      <c r="D15" s="104">
        <v>5.5399999999999998E-2</v>
      </c>
    </row>
    <row r="16" spans="1:14" x14ac:dyDescent="0.25">
      <c r="A16" s="6" t="s">
        <v>4</v>
      </c>
      <c r="B16" s="6">
        <v>20</v>
      </c>
      <c r="C16" s="8">
        <v>1</v>
      </c>
      <c r="D16" s="104">
        <v>5.5199999999999999E-2</v>
      </c>
    </row>
    <row r="17" spans="1:14" x14ac:dyDescent="0.25">
      <c r="A17" s="6" t="s">
        <v>5</v>
      </c>
      <c r="B17" s="6">
        <v>10</v>
      </c>
      <c r="C17" s="8">
        <v>1</v>
      </c>
      <c r="D17" s="104">
        <v>7.1999999999999995E-2</v>
      </c>
    </row>
    <row r="20" spans="1:14" ht="18.75" x14ac:dyDescent="0.3">
      <c r="A20" s="23" t="s">
        <v>77</v>
      </c>
      <c r="B20" s="20"/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 t="s">
        <v>70</v>
      </c>
      <c r="N20" s="20"/>
    </row>
    <row r="21" spans="1:14" ht="45" x14ac:dyDescent="0.25">
      <c r="A21" s="105" t="s">
        <v>8</v>
      </c>
      <c r="M21" s="18"/>
    </row>
    <row r="23" spans="1:14" ht="18.75" x14ac:dyDescent="0.3">
      <c r="A23" s="23" t="s">
        <v>78</v>
      </c>
      <c r="B23" s="20"/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 t="s">
        <v>70</v>
      </c>
      <c r="N23" s="20"/>
    </row>
    <row r="24" spans="1:14" ht="18.75" x14ac:dyDescent="0.3">
      <c r="A24" s="33" t="s">
        <v>79</v>
      </c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8"/>
      <c r="N24" s="10"/>
    </row>
    <row r="26" spans="1:14" x14ac:dyDescent="0.25">
      <c r="A26" s="161" t="s">
        <v>16</v>
      </c>
      <c r="B26" s="161"/>
      <c r="C26" s="161"/>
    </row>
    <row r="27" spans="1:14" x14ac:dyDescent="0.25">
      <c r="A27" s="162" t="s">
        <v>17</v>
      </c>
      <c r="B27" s="163"/>
      <c r="C27" s="164"/>
    </row>
    <row r="28" spans="1:14" x14ac:dyDescent="0.25">
      <c r="A28" s="165" t="s">
        <v>18</v>
      </c>
      <c r="B28" s="166"/>
      <c r="C28" s="167"/>
    </row>
    <row r="29" spans="1:14" x14ac:dyDescent="0.25">
      <c r="A29" s="165" t="s">
        <v>19</v>
      </c>
      <c r="B29" s="166"/>
      <c r="C29" s="167"/>
    </row>
    <row r="30" spans="1:14" x14ac:dyDescent="0.25">
      <c r="A30" s="165" t="s">
        <v>20</v>
      </c>
      <c r="B30" s="166"/>
      <c r="C30" s="167"/>
    </row>
  </sheetData>
  <sheetProtection formatCells="0" formatColumns="0" formatRows="0" insertColumns="0" insertRows="0" insertHyperlinks="0" sort="0" autoFilter="0" pivotTables="0"/>
  <mergeCells count="5">
    <mergeCell ref="A26:C26"/>
    <mergeCell ref="A27:C27"/>
    <mergeCell ref="A29:C29"/>
    <mergeCell ref="A30:C30"/>
    <mergeCell ref="A28:C28"/>
  </mergeCells>
  <dataValidations count="1">
    <dataValidation type="list" allowBlank="1" showInputMessage="1" showErrorMessage="1" sqref="M7:M10 M21 M24" xr:uid="{00000000-0002-0000-0200-000000000000}">
      <formula1>"1"</formula1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4"/>
  <dimension ref="A1:L22"/>
  <sheetViews>
    <sheetView showGridLines="0" workbookViewId="0"/>
  </sheetViews>
  <sheetFormatPr defaultRowHeight="15" x14ac:dyDescent="0.25"/>
  <cols>
    <col min="1" max="1" width="13.7109375" customWidth="1"/>
    <col min="2" max="2" width="12.7109375" bestFit="1" customWidth="1"/>
    <col min="3" max="3" width="14.140625" bestFit="1" customWidth="1"/>
    <col min="4" max="4" width="12.85546875" customWidth="1"/>
    <col min="6" max="6" width="13.7109375" customWidth="1"/>
    <col min="7" max="7" width="12.7109375" bestFit="1" customWidth="1"/>
    <col min="8" max="8" width="14.140625" bestFit="1" customWidth="1"/>
    <col min="9" max="9" width="12.85546875" customWidth="1"/>
    <col min="11" max="11" width="9.140625" hidden="1" customWidth="1"/>
  </cols>
  <sheetData>
    <row r="1" spans="1:12" ht="26.25" customHeight="1" x14ac:dyDescent="0.25"/>
    <row r="2" spans="1:12" ht="36" x14ac:dyDescent="0.55000000000000004">
      <c r="A2" s="5" t="s">
        <v>66</v>
      </c>
    </row>
    <row r="4" spans="1:12" ht="18.75" x14ac:dyDescent="0.3">
      <c r="A4" s="23" t="s">
        <v>35</v>
      </c>
      <c r="B4" s="20"/>
      <c r="C4" s="20"/>
      <c r="D4" s="20"/>
      <c r="E4" s="20"/>
      <c r="F4" s="20"/>
      <c r="G4" s="20"/>
      <c r="H4" s="20"/>
      <c r="I4" s="20"/>
      <c r="J4" s="20"/>
      <c r="K4" s="20" t="s">
        <v>70</v>
      </c>
      <c r="L4" s="20"/>
    </row>
    <row r="5" spans="1:12" ht="15.75" thickBot="1" x14ac:dyDescent="0.3">
      <c r="K5" s="24"/>
    </row>
    <row r="6" spans="1:12" ht="18.75" x14ac:dyDescent="0.3">
      <c r="A6" s="168" t="s">
        <v>80</v>
      </c>
      <c r="B6" s="169"/>
      <c r="C6" s="169"/>
      <c r="D6" s="170"/>
    </row>
    <row r="7" spans="1:12" x14ac:dyDescent="0.25">
      <c r="A7" s="12" t="s">
        <v>16</v>
      </c>
      <c r="B7" s="9" t="s">
        <v>32</v>
      </c>
      <c r="C7" s="9" t="s">
        <v>22</v>
      </c>
      <c r="D7" s="13" t="s">
        <v>31</v>
      </c>
      <c r="E7" s="11"/>
      <c r="G7" s="107" t="s">
        <v>146</v>
      </c>
    </row>
    <row r="8" spans="1:12" x14ac:dyDescent="0.25">
      <c r="A8" s="14" t="s">
        <v>28</v>
      </c>
      <c r="B8" s="6">
        <v>0.25</v>
      </c>
      <c r="C8" s="7">
        <v>10</v>
      </c>
      <c r="D8" s="106">
        <f>C8*B8</f>
        <v>2.5</v>
      </c>
    </row>
    <row r="9" spans="1:12" x14ac:dyDescent="0.25">
      <c r="A9" s="14" t="s">
        <v>30</v>
      </c>
      <c r="B9" s="6">
        <v>0.15</v>
      </c>
      <c r="C9" s="7">
        <v>5</v>
      </c>
      <c r="D9" s="106">
        <f t="shared" ref="D9:D13" si="0">C9*B9</f>
        <v>0.75</v>
      </c>
    </row>
    <row r="10" spans="1:12" x14ac:dyDescent="0.25">
      <c r="A10" s="14" t="s">
        <v>29</v>
      </c>
      <c r="B10" s="6">
        <v>0.05</v>
      </c>
      <c r="C10" s="7">
        <v>15</v>
      </c>
      <c r="D10" s="106">
        <f t="shared" si="0"/>
        <v>0.75</v>
      </c>
    </row>
    <row r="11" spans="1:12" x14ac:dyDescent="0.25">
      <c r="A11" s="14" t="s">
        <v>33</v>
      </c>
      <c r="B11" s="6">
        <v>0.25</v>
      </c>
      <c r="C11" s="7">
        <v>20</v>
      </c>
      <c r="D11" s="106">
        <f t="shared" si="0"/>
        <v>5</v>
      </c>
    </row>
    <row r="12" spans="1:12" x14ac:dyDescent="0.25">
      <c r="A12" s="14" t="s">
        <v>34</v>
      </c>
      <c r="B12" s="6">
        <v>0.15</v>
      </c>
      <c r="C12" s="7">
        <v>10</v>
      </c>
      <c r="D12" s="106">
        <f t="shared" si="0"/>
        <v>1.5</v>
      </c>
    </row>
    <row r="13" spans="1:12" x14ac:dyDescent="0.25">
      <c r="A13" s="14" t="s">
        <v>29</v>
      </c>
      <c r="B13" s="6">
        <v>0.1</v>
      </c>
      <c r="C13" s="7">
        <v>1</v>
      </c>
      <c r="D13" s="106">
        <f t="shared" si="0"/>
        <v>0.1</v>
      </c>
    </row>
    <row r="15" spans="1:12" ht="18.75" customHeight="1" x14ac:dyDescent="0.25">
      <c r="A15" s="171" t="s">
        <v>100</v>
      </c>
      <c r="B15" s="171"/>
      <c r="C15" s="171"/>
      <c r="D15" s="171"/>
      <c r="E15" s="171"/>
      <c r="F15" s="171"/>
      <c r="G15" s="171"/>
      <c r="H15" s="171"/>
      <c r="I15" s="171"/>
      <c r="J15" s="171"/>
      <c r="K15" s="20" t="s">
        <v>70</v>
      </c>
      <c r="L15" s="20"/>
    </row>
    <row r="16" spans="1:12" ht="18.75" customHeight="1" x14ac:dyDescent="0.25">
      <c r="A16" s="172"/>
      <c r="B16" s="172"/>
      <c r="C16" s="172"/>
      <c r="D16" s="172"/>
      <c r="E16" s="172"/>
      <c r="F16" s="172"/>
      <c r="G16" s="172"/>
      <c r="H16" s="172"/>
      <c r="I16" s="172"/>
      <c r="J16" s="172"/>
      <c r="K16" s="10"/>
      <c r="L16" s="10"/>
    </row>
    <row r="17" spans="1:12" ht="18.75" x14ac:dyDescent="0.3">
      <c r="A17" s="32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</row>
    <row r="18" spans="1:12" x14ac:dyDescent="0.25">
      <c r="A18" s="34" t="s">
        <v>84</v>
      </c>
      <c r="B18" s="29"/>
      <c r="C18" s="29"/>
      <c r="D18" s="72">
        <f>SUM(D8:D13)</f>
        <v>10.6</v>
      </c>
      <c r="E18" s="10"/>
      <c r="F18" s="10"/>
      <c r="G18" s="10"/>
      <c r="H18" s="10"/>
      <c r="I18" s="10"/>
      <c r="J18" s="10"/>
      <c r="K18" s="38"/>
      <c r="L18" s="10"/>
    </row>
    <row r="19" spans="1:12" x14ac:dyDescent="0.25">
      <c r="A19" s="34" t="s">
        <v>81</v>
      </c>
      <c r="B19" s="29"/>
      <c r="C19" s="29"/>
      <c r="D19" s="72">
        <f>AVERAGE(D8:D13)</f>
        <v>1.7666666666666666</v>
      </c>
      <c r="E19" s="108"/>
      <c r="F19" s="10"/>
      <c r="G19" s="10"/>
      <c r="H19" s="10"/>
      <c r="I19" s="10"/>
      <c r="J19" s="10"/>
      <c r="K19" s="39"/>
      <c r="L19" s="10"/>
    </row>
    <row r="20" spans="1:12" x14ac:dyDescent="0.25">
      <c r="A20" s="35" t="s">
        <v>82</v>
      </c>
      <c r="B20" s="36"/>
      <c r="C20" s="36"/>
      <c r="D20" s="73">
        <f>LARGE(D8:D13,1)</f>
        <v>5</v>
      </c>
      <c r="E20" s="10"/>
      <c r="F20" s="10"/>
      <c r="G20" s="10"/>
      <c r="H20" s="10"/>
      <c r="I20" s="10"/>
      <c r="J20" s="10"/>
      <c r="K20" s="39"/>
      <c r="L20" s="10"/>
    </row>
    <row r="21" spans="1:12" x14ac:dyDescent="0.25">
      <c r="A21" s="37" t="s">
        <v>83</v>
      </c>
      <c r="B21" s="20"/>
      <c r="C21" s="20"/>
      <c r="D21" s="74">
        <f>SMALL(D8:D13,1)</f>
        <v>0.1</v>
      </c>
      <c r="E21" s="10"/>
      <c r="F21" s="10"/>
      <c r="G21" s="10"/>
      <c r="H21" s="10"/>
      <c r="I21" s="10"/>
      <c r="J21" s="10"/>
      <c r="K21" s="40"/>
      <c r="L21" s="10"/>
    </row>
    <row r="22" spans="1:12" ht="18.75" x14ac:dyDescent="0.3">
      <c r="A22" s="32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</row>
  </sheetData>
  <mergeCells count="2">
    <mergeCell ref="A6:D6"/>
    <mergeCell ref="A15:J16"/>
  </mergeCells>
  <dataValidations count="1">
    <dataValidation type="list" allowBlank="1" showInputMessage="1" showErrorMessage="1" sqref="K5 K18:K21" xr:uid="{00000000-0002-0000-0300-000000000000}">
      <formula1>"1"</formula1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5"/>
  <dimension ref="A1:K38"/>
  <sheetViews>
    <sheetView showGridLines="0" topLeftCell="A31" workbookViewId="0"/>
  </sheetViews>
  <sheetFormatPr defaultRowHeight="15" x14ac:dyDescent="0.25"/>
  <cols>
    <col min="1" max="1" width="11.42578125" customWidth="1"/>
    <col min="2" max="2" width="14.7109375" customWidth="1"/>
    <col min="3" max="3" width="14.5703125" customWidth="1"/>
    <col min="4" max="4" width="11.5703125" bestFit="1" customWidth="1"/>
    <col min="5" max="5" width="13" customWidth="1"/>
    <col min="7" max="7" width="11.42578125" customWidth="1"/>
    <col min="11" max="11" width="9.140625" hidden="1" customWidth="1"/>
  </cols>
  <sheetData>
    <row r="1" spans="1:11" ht="24" customHeight="1" x14ac:dyDescent="0.25"/>
    <row r="2" spans="1:11" ht="37.5" customHeight="1" x14ac:dyDescent="0.55000000000000004">
      <c r="A2" s="5" t="s">
        <v>67</v>
      </c>
    </row>
    <row r="3" spans="1:11" ht="15" customHeight="1" x14ac:dyDescent="0.25">
      <c r="B3" s="27"/>
      <c r="C3" s="27"/>
      <c r="D3" s="27"/>
      <c r="E3" s="27"/>
      <c r="F3" s="27"/>
      <c r="G3" s="27"/>
      <c r="H3" s="27"/>
      <c r="I3" s="27"/>
      <c r="J3" s="27"/>
    </row>
    <row r="4" spans="1:11" ht="15" customHeight="1" x14ac:dyDescent="0.25">
      <c r="A4" s="173" t="s">
        <v>105</v>
      </c>
      <c r="B4" s="173"/>
      <c r="C4" s="173"/>
      <c r="D4" s="173"/>
      <c r="E4" s="173"/>
      <c r="F4" s="173"/>
      <c r="G4" s="173"/>
      <c r="H4" s="173"/>
      <c r="I4" s="27"/>
      <c r="J4" s="27"/>
    </row>
    <row r="5" spans="1:11" ht="15" customHeight="1" x14ac:dyDescent="0.25">
      <c r="A5" s="173"/>
      <c r="B5" s="173"/>
      <c r="C5" s="173"/>
      <c r="D5" s="173"/>
      <c r="E5" s="173"/>
      <c r="F5" s="173"/>
      <c r="G5" s="173"/>
      <c r="H5" s="173"/>
      <c r="I5" s="27"/>
      <c r="J5" s="27"/>
    </row>
    <row r="6" spans="1:11" ht="15" customHeight="1" x14ac:dyDescent="0.25">
      <c r="A6" s="173"/>
      <c r="B6" s="173"/>
      <c r="C6" s="173"/>
      <c r="D6" s="173"/>
      <c r="E6" s="173"/>
      <c r="F6" s="173"/>
      <c r="G6" s="173"/>
      <c r="H6" s="173"/>
      <c r="I6" s="27"/>
      <c r="J6" s="27"/>
    </row>
    <row r="7" spans="1:11" ht="15" customHeight="1" x14ac:dyDescent="0.25">
      <c r="A7" s="173"/>
      <c r="B7" s="173"/>
      <c r="C7" s="173"/>
      <c r="D7" s="173"/>
      <c r="E7" s="173"/>
      <c r="F7" s="173"/>
      <c r="G7" s="173"/>
      <c r="H7" s="173"/>
      <c r="I7" s="27"/>
      <c r="J7" s="27"/>
    </row>
    <row r="8" spans="1:11" ht="15" customHeight="1" x14ac:dyDescent="0.25">
      <c r="A8" s="173"/>
      <c r="B8" s="173"/>
      <c r="C8" s="173"/>
      <c r="D8" s="173"/>
      <c r="E8" s="173"/>
      <c r="F8" s="173"/>
      <c r="G8" s="173"/>
      <c r="H8" s="173"/>
      <c r="I8" s="27"/>
      <c r="J8" s="27"/>
    </row>
    <row r="9" spans="1:11" ht="15" customHeight="1" x14ac:dyDescent="0.25">
      <c r="A9" s="173"/>
      <c r="B9" s="173"/>
      <c r="C9" s="173"/>
      <c r="D9" s="173"/>
      <c r="E9" s="173"/>
      <c r="F9" s="173"/>
      <c r="G9" s="173"/>
      <c r="H9" s="173"/>
      <c r="I9" s="27"/>
      <c r="J9" s="27"/>
    </row>
    <row r="10" spans="1:11" ht="15" customHeight="1" x14ac:dyDescent="0.25">
      <c r="A10" s="57" t="s">
        <v>94</v>
      </c>
      <c r="B10" s="57" t="s">
        <v>90</v>
      </c>
      <c r="C10" s="57" t="s">
        <v>91</v>
      </c>
      <c r="D10" s="57" t="s">
        <v>92</v>
      </c>
      <c r="E10" s="57" t="s">
        <v>92</v>
      </c>
      <c r="F10" s="15"/>
      <c r="G10" s="15"/>
      <c r="H10" s="15"/>
      <c r="I10" s="27"/>
      <c r="J10" s="27"/>
      <c r="K10" t="s">
        <v>70</v>
      </c>
    </row>
    <row r="11" spans="1:11" ht="15" customHeight="1" x14ac:dyDescent="0.25">
      <c r="A11" s="55" t="s">
        <v>57</v>
      </c>
      <c r="B11" s="59">
        <v>6941</v>
      </c>
      <c r="C11" s="59">
        <v>2122</v>
      </c>
      <c r="D11" s="56">
        <f>IFERROR(C11/B11,0)</f>
        <v>0.30571963693992221</v>
      </c>
      <c r="E11" s="56">
        <f>C11/B11</f>
        <v>0.30571963693992221</v>
      </c>
      <c r="F11" s="27"/>
      <c r="G11" s="27"/>
      <c r="H11" s="27"/>
      <c r="I11" s="27"/>
      <c r="J11" s="27"/>
      <c r="K11" s="24"/>
    </row>
    <row r="12" spans="1:11" ht="15" customHeight="1" x14ac:dyDescent="0.25">
      <c r="A12" s="55" t="s">
        <v>63</v>
      </c>
      <c r="B12" s="59">
        <v>4456</v>
      </c>
      <c r="C12" s="59">
        <v>7941</v>
      </c>
      <c r="D12" s="56">
        <f t="shared" ref="D12:D18" si="0">IFERROR(C12/B12,0)</f>
        <v>1.7820915619389588</v>
      </c>
      <c r="E12" s="56">
        <f t="shared" ref="E12:E18" si="1">C12/B12</f>
        <v>1.7820915619389588</v>
      </c>
      <c r="F12" s="27"/>
      <c r="G12" s="27"/>
      <c r="H12" s="27"/>
      <c r="I12" s="27"/>
      <c r="J12" s="27"/>
    </row>
    <row r="13" spans="1:11" ht="15" customHeight="1" x14ac:dyDescent="0.25">
      <c r="A13" s="55" t="s">
        <v>55</v>
      </c>
      <c r="B13" s="59">
        <v>3360</v>
      </c>
      <c r="C13" s="59">
        <v>4346</v>
      </c>
      <c r="D13" s="56">
        <f t="shared" si="0"/>
        <v>1.293452380952381</v>
      </c>
      <c r="E13" s="56">
        <f t="shared" si="1"/>
        <v>1.293452380952381</v>
      </c>
      <c r="F13" s="27"/>
      <c r="G13" s="27"/>
      <c r="H13" s="27"/>
      <c r="I13" s="27"/>
      <c r="J13" s="27"/>
    </row>
    <row r="14" spans="1:11" ht="15" customHeight="1" x14ac:dyDescent="0.25">
      <c r="A14" s="55" t="s">
        <v>56</v>
      </c>
      <c r="B14" s="59">
        <v>2790</v>
      </c>
      <c r="C14" s="59">
        <v>1637</v>
      </c>
      <c r="D14" s="56">
        <f t="shared" si="0"/>
        <v>0.58673835125448026</v>
      </c>
      <c r="E14" s="56">
        <f t="shared" si="1"/>
        <v>0.58673835125448026</v>
      </c>
      <c r="F14" s="27"/>
      <c r="G14" s="27"/>
      <c r="H14" s="27"/>
      <c r="I14" s="27"/>
      <c r="J14" s="27"/>
    </row>
    <row r="15" spans="1:11" ht="15" customHeight="1" x14ac:dyDescent="0.25">
      <c r="A15" s="55" t="s">
        <v>61</v>
      </c>
      <c r="B15" s="59">
        <v>8951</v>
      </c>
      <c r="C15" s="59">
        <v>9542</v>
      </c>
      <c r="D15" s="56">
        <f t="shared" si="0"/>
        <v>1.0660261423304658</v>
      </c>
      <c r="E15" s="56">
        <f t="shared" si="1"/>
        <v>1.0660261423304658</v>
      </c>
      <c r="F15" s="27"/>
      <c r="G15" s="27"/>
      <c r="H15" s="27"/>
      <c r="I15" s="27"/>
      <c r="J15" s="27"/>
    </row>
    <row r="16" spans="1:11" ht="15" customHeight="1" x14ac:dyDescent="0.25">
      <c r="A16" s="55" t="s">
        <v>59</v>
      </c>
      <c r="B16" s="59">
        <v>2786</v>
      </c>
      <c r="C16" s="59">
        <v>1934</v>
      </c>
      <c r="D16" s="56">
        <f t="shared" si="0"/>
        <v>0.69418521177315151</v>
      </c>
      <c r="E16" s="56">
        <f t="shared" si="1"/>
        <v>0.69418521177315151</v>
      </c>
      <c r="F16" s="27"/>
      <c r="G16" s="27"/>
      <c r="H16" s="27"/>
      <c r="I16" s="27"/>
      <c r="J16" s="27"/>
    </row>
    <row r="17" spans="1:11" ht="15" customHeight="1" x14ac:dyDescent="0.25">
      <c r="A17" s="55" t="s">
        <v>58</v>
      </c>
      <c r="B17" s="59">
        <v>4091</v>
      </c>
      <c r="C17" s="59">
        <v>8329</v>
      </c>
      <c r="D17" s="56">
        <f t="shared" si="0"/>
        <v>2.0359325348325594</v>
      </c>
      <c r="E17" s="56">
        <f t="shared" si="1"/>
        <v>2.0359325348325594</v>
      </c>
      <c r="F17" s="27"/>
      <c r="G17" s="27"/>
      <c r="H17" s="27"/>
      <c r="I17" s="27"/>
      <c r="J17" s="27"/>
    </row>
    <row r="18" spans="1:11" ht="15" customHeight="1" x14ac:dyDescent="0.25">
      <c r="A18" s="55" t="s">
        <v>60</v>
      </c>
      <c r="B18" s="59">
        <v>6771</v>
      </c>
      <c r="C18" s="59">
        <v>5608</v>
      </c>
      <c r="D18" s="56">
        <f t="shared" si="0"/>
        <v>0.82823807413971351</v>
      </c>
      <c r="E18" s="56">
        <f t="shared" si="1"/>
        <v>0.82823807413971351</v>
      </c>
      <c r="F18" s="27"/>
      <c r="G18" s="27"/>
      <c r="H18" s="27"/>
      <c r="I18" s="27"/>
      <c r="J18" s="27"/>
    </row>
    <row r="19" spans="1:11" ht="15" customHeight="1" x14ac:dyDescent="0.25">
      <c r="A19" s="27"/>
      <c r="B19" s="27"/>
      <c r="C19" s="27"/>
      <c r="D19" s="27"/>
      <c r="E19" s="27"/>
      <c r="F19" s="27"/>
      <c r="G19" s="27"/>
      <c r="H19" s="27"/>
      <c r="I19" s="27"/>
      <c r="J19" s="27"/>
    </row>
    <row r="20" spans="1:11" ht="15" customHeight="1" x14ac:dyDescent="0.25">
      <c r="A20" s="27"/>
      <c r="B20" s="27"/>
      <c r="C20" s="27"/>
      <c r="D20" s="27"/>
      <c r="E20" s="27"/>
      <c r="F20" s="27"/>
      <c r="G20" s="27"/>
      <c r="H20" s="27"/>
      <c r="I20" s="27"/>
      <c r="J20" s="27"/>
    </row>
    <row r="21" spans="1:11" ht="15" customHeight="1" x14ac:dyDescent="0.25">
      <c r="A21" s="27"/>
      <c r="B21" s="27"/>
      <c r="C21" s="27"/>
      <c r="D21" s="27"/>
      <c r="E21" s="27"/>
      <c r="F21" s="27"/>
      <c r="G21" s="27"/>
      <c r="H21" s="27"/>
      <c r="I21" s="27"/>
      <c r="J21" s="27"/>
    </row>
    <row r="22" spans="1:11" ht="15" customHeight="1" x14ac:dyDescent="0.25">
      <c r="A22" s="173" t="s">
        <v>95</v>
      </c>
      <c r="B22" s="173"/>
      <c r="C22" s="173"/>
      <c r="D22" s="173"/>
      <c r="E22" s="173"/>
      <c r="F22" s="173"/>
      <c r="G22" s="173"/>
      <c r="H22" s="173"/>
      <c r="I22" s="27"/>
      <c r="J22" s="27"/>
    </row>
    <row r="23" spans="1:11" x14ac:dyDescent="0.25">
      <c r="A23" s="173"/>
      <c r="B23" s="173"/>
      <c r="C23" s="173"/>
      <c r="D23" s="173"/>
      <c r="E23" s="173"/>
      <c r="F23" s="173"/>
      <c r="G23" s="173"/>
      <c r="H23" s="173"/>
      <c r="I23" s="27"/>
      <c r="J23" s="27"/>
    </row>
    <row r="24" spans="1:11" x14ac:dyDescent="0.25">
      <c r="A24" s="173"/>
      <c r="B24" s="173"/>
      <c r="C24" s="173"/>
      <c r="D24" s="173"/>
      <c r="E24" s="173"/>
      <c r="F24" s="173"/>
      <c r="G24" s="173"/>
      <c r="H24" s="173"/>
      <c r="I24" s="27"/>
      <c r="J24" s="27"/>
    </row>
    <row r="25" spans="1:11" x14ac:dyDescent="0.25">
      <c r="A25" s="173"/>
      <c r="B25" s="173"/>
      <c r="C25" s="173"/>
      <c r="D25" s="173"/>
      <c r="E25" s="173"/>
      <c r="F25" s="173"/>
      <c r="G25" s="173"/>
      <c r="H25" s="173"/>
      <c r="I25" s="27"/>
      <c r="J25" s="27"/>
    </row>
    <row r="26" spans="1:11" x14ac:dyDescent="0.25">
      <c r="A26" s="173"/>
      <c r="B26" s="173"/>
      <c r="C26" s="173"/>
      <c r="D26" s="173"/>
      <c r="E26" s="173"/>
      <c r="F26" s="173"/>
      <c r="G26" s="173"/>
      <c r="H26" s="173"/>
      <c r="I26" s="27"/>
      <c r="J26" s="27"/>
    </row>
    <row r="27" spans="1:11" x14ac:dyDescent="0.25">
      <c r="A27" s="173"/>
      <c r="B27" s="173"/>
      <c r="C27" s="173"/>
      <c r="D27" s="173"/>
      <c r="E27" s="173"/>
      <c r="F27" s="173"/>
      <c r="G27" s="173"/>
      <c r="H27" s="173"/>
    </row>
    <row r="28" spans="1:11" ht="30" x14ac:dyDescent="0.25">
      <c r="A28" s="58" t="s">
        <v>0</v>
      </c>
      <c r="B28" s="58" t="s">
        <v>41</v>
      </c>
      <c r="C28" s="58" t="s">
        <v>93</v>
      </c>
      <c r="K28" t="s">
        <v>70</v>
      </c>
    </row>
    <row r="29" spans="1:11" x14ac:dyDescent="0.25">
      <c r="A29" s="6" t="s">
        <v>23</v>
      </c>
      <c r="B29" s="8">
        <v>18.53</v>
      </c>
      <c r="C29" s="109">
        <f>B29-(B29*12%)</f>
        <v>16.3064</v>
      </c>
      <c r="K29" s="24"/>
    </row>
    <row r="30" spans="1:11" x14ac:dyDescent="0.25">
      <c r="A30" s="6" t="s">
        <v>24</v>
      </c>
      <c r="B30" s="8">
        <v>56.67</v>
      </c>
      <c r="C30" s="109">
        <f t="shared" ref="C30:C38" si="2">B30-(B30*12%)</f>
        <v>49.869600000000005</v>
      </c>
    </row>
    <row r="31" spans="1:11" x14ac:dyDescent="0.25">
      <c r="A31" s="6" t="s">
        <v>25</v>
      </c>
      <c r="B31" s="8">
        <v>59.19</v>
      </c>
      <c r="C31" s="109">
        <f t="shared" si="2"/>
        <v>52.087199999999996</v>
      </c>
      <c r="H31" s="41"/>
    </row>
    <row r="32" spans="1:11" x14ac:dyDescent="0.25">
      <c r="A32" s="6" t="s">
        <v>26</v>
      </c>
      <c r="B32" s="8">
        <v>16.21</v>
      </c>
      <c r="C32" s="109">
        <f t="shared" si="2"/>
        <v>14.264800000000001</v>
      </c>
    </row>
    <row r="33" spans="1:3" x14ac:dyDescent="0.25">
      <c r="A33" s="6" t="s">
        <v>27</v>
      </c>
      <c r="B33" s="8">
        <v>85.48</v>
      </c>
      <c r="C33" s="109">
        <f t="shared" si="2"/>
        <v>75.222400000000007</v>
      </c>
    </row>
    <row r="34" spans="1:3" x14ac:dyDescent="0.25">
      <c r="A34" s="6" t="s">
        <v>36</v>
      </c>
      <c r="B34" s="8">
        <v>26.2</v>
      </c>
      <c r="C34" s="109">
        <f t="shared" si="2"/>
        <v>23.056000000000001</v>
      </c>
    </row>
    <row r="35" spans="1:3" x14ac:dyDescent="0.25">
      <c r="A35" s="6" t="s">
        <v>37</v>
      </c>
      <c r="B35" s="8">
        <v>30.66</v>
      </c>
      <c r="C35" s="109">
        <f t="shared" si="2"/>
        <v>26.980800000000002</v>
      </c>
    </row>
    <row r="36" spans="1:3" x14ac:dyDescent="0.25">
      <c r="A36" s="6" t="s">
        <v>38</v>
      </c>
      <c r="B36" s="8">
        <v>28.76</v>
      </c>
      <c r="C36" s="109">
        <f t="shared" si="2"/>
        <v>25.308800000000002</v>
      </c>
    </row>
    <row r="37" spans="1:3" x14ac:dyDescent="0.25">
      <c r="A37" s="6" t="s">
        <v>39</v>
      </c>
      <c r="B37" s="8">
        <v>84.36</v>
      </c>
      <c r="C37" s="109">
        <f t="shared" si="2"/>
        <v>74.236800000000002</v>
      </c>
    </row>
    <row r="38" spans="1:3" x14ac:dyDescent="0.25">
      <c r="A38" s="6" t="s">
        <v>40</v>
      </c>
      <c r="B38" s="8">
        <v>36.909999999999997</v>
      </c>
      <c r="C38" s="109">
        <f t="shared" si="2"/>
        <v>32.480799999999995</v>
      </c>
    </row>
  </sheetData>
  <mergeCells count="2">
    <mergeCell ref="A22:H27"/>
    <mergeCell ref="A4:H9"/>
  </mergeCells>
  <dataValidations count="1">
    <dataValidation type="list" allowBlank="1" showInputMessage="1" showErrorMessage="1" sqref="K29 K11" xr:uid="{00000000-0002-0000-0400-000000000000}">
      <formula1>"1"</formula1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6">
    <pageSetUpPr autoPageBreaks="0"/>
  </sheetPr>
  <dimension ref="A1:Q154"/>
  <sheetViews>
    <sheetView showGridLines="0" topLeftCell="A64" zoomScale="90" zoomScaleNormal="90" workbookViewId="0"/>
  </sheetViews>
  <sheetFormatPr defaultRowHeight="15" x14ac:dyDescent="0.25"/>
  <cols>
    <col min="1" max="1" width="16.42578125" bestFit="1" customWidth="1"/>
    <col min="2" max="2" width="22.7109375" bestFit="1" customWidth="1"/>
    <col min="3" max="3" width="18.140625" customWidth="1"/>
    <col min="4" max="4" width="17.42578125" bestFit="1" customWidth="1"/>
    <col min="5" max="5" width="18" customWidth="1"/>
    <col min="6" max="6" width="18.42578125" customWidth="1"/>
    <col min="7" max="7" width="15.140625" customWidth="1"/>
    <col min="8" max="8" width="24.85546875" customWidth="1"/>
    <col min="9" max="11" width="2.5703125" customWidth="1"/>
    <col min="12" max="12" width="10.42578125" hidden="1" customWidth="1"/>
    <col min="13" max="13" width="20.85546875" bestFit="1" customWidth="1"/>
    <col min="14" max="14" width="18" customWidth="1"/>
    <col min="15" max="16" width="18.42578125" customWidth="1"/>
    <col min="17" max="17" width="18" customWidth="1"/>
    <col min="18" max="18" width="22.7109375" bestFit="1" customWidth="1"/>
    <col min="23" max="23" width="18" bestFit="1" customWidth="1"/>
    <col min="24" max="24" width="21.42578125" bestFit="1" customWidth="1"/>
  </cols>
  <sheetData>
    <row r="1" spans="1:12" ht="24.75" customHeight="1" x14ac:dyDescent="0.25"/>
    <row r="2" spans="1:12" ht="36" x14ac:dyDescent="0.55000000000000004">
      <c r="A2" s="5" t="s">
        <v>112</v>
      </c>
    </row>
    <row r="4" spans="1:12" x14ac:dyDescent="0.25">
      <c r="A4" t="s">
        <v>113</v>
      </c>
    </row>
    <row r="5" spans="1:12" x14ac:dyDescent="0.25">
      <c r="A5" t="s">
        <v>114</v>
      </c>
    </row>
    <row r="6" spans="1:12" x14ac:dyDescent="0.25">
      <c r="A6" t="s">
        <v>42</v>
      </c>
    </row>
    <row r="7" spans="1:12" x14ac:dyDescent="0.25">
      <c r="L7" t="s">
        <v>70</v>
      </c>
    </row>
    <row r="8" spans="1:12" ht="15" customHeight="1" x14ac:dyDescent="0.25">
      <c r="A8" s="177" t="s">
        <v>106</v>
      </c>
      <c r="B8" s="177"/>
      <c r="C8" s="177"/>
      <c r="D8" s="177"/>
      <c r="E8" s="177"/>
      <c r="F8" s="177"/>
      <c r="G8" s="177"/>
      <c r="H8" s="177"/>
      <c r="I8" s="177"/>
      <c r="J8" s="177"/>
      <c r="L8" s="18"/>
    </row>
    <row r="9" spans="1:12" x14ac:dyDescent="0.25">
      <c r="A9" s="177"/>
      <c r="B9" s="177"/>
      <c r="C9" s="177"/>
      <c r="D9" s="177"/>
      <c r="E9" s="177"/>
      <c r="F9" s="177"/>
      <c r="G9" s="177"/>
      <c r="H9" s="177"/>
      <c r="I9" s="177"/>
      <c r="J9" s="177"/>
    </row>
    <row r="10" spans="1:12" x14ac:dyDescent="0.25">
      <c r="A10" s="177"/>
      <c r="B10" s="177"/>
      <c r="C10" s="177"/>
      <c r="D10" s="177"/>
      <c r="E10" s="177"/>
      <c r="F10" s="177"/>
      <c r="G10" s="177"/>
      <c r="H10" s="177"/>
      <c r="I10" s="177"/>
      <c r="J10" s="177"/>
    </row>
    <row r="11" spans="1:12" x14ac:dyDescent="0.25">
      <c r="A11" s="19"/>
      <c r="B11" s="19"/>
      <c r="C11" s="19"/>
      <c r="D11" s="19"/>
      <c r="E11" s="19"/>
      <c r="F11" s="19"/>
      <c r="G11" s="19"/>
      <c r="H11" s="19"/>
      <c r="I11" s="19"/>
      <c r="J11" s="19"/>
      <c r="K11" s="20"/>
      <c r="L11" s="20"/>
    </row>
    <row r="12" spans="1:12" ht="15" customHeight="1" x14ac:dyDescent="0.25">
      <c r="A12" s="177" t="s">
        <v>139</v>
      </c>
      <c r="B12" s="177"/>
      <c r="C12" s="177"/>
      <c r="D12" s="177"/>
      <c r="E12" s="177"/>
      <c r="F12" s="177"/>
      <c r="G12" s="177"/>
      <c r="H12" s="177"/>
      <c r="I12" s="177"/>
      <c r="J12" s="177"/>
      <c r="L12" s="18"/>
    </row>
    <row r="13" spans="1:12" x14ac:dyDescent="0.25">
      <c r="A13" s="177"/>
      <c r="B13" s="177"/>
      <c r="C13" s="177"/>
      <c r="D13" s="177"/>
      <c r="E13" s="177"/>
      <c r="F13" s="177"/>
      <c r="G13" s="177"/>
      <c r="H13" s="177"/>
      <c r="I13" s="177"/>
      <c r="J13" s="177"/>
    </row>
    <row r="14" spans="1:12" x14ac:dyDescent="0.25">
      <c r="A14" s="21"/>
      <c r="B14" s="21"/>
      <c r="C14" s="21"/>
      <c r="D14" s="21"/>
      <c r="E14" s="21"/>
      <c r="F14" s="21"/>
      <c r="G14" s="21"/>
      <c r="H14" s="21"/>
      <c r="I14" s="21"/>
      <c r="J14" s="21"/>
      <c r="K14" s="20"/>
      <c r="L14" s="20"/>
    </row>
    <row r="15" spans="1:12" ht="15" customHeight="1" x14ac:dyDescent="0.25">
      <c r="A15" s="177" t="s">
        <v>140</v>
      </c>
      <c r="B15" s="177"/>
      <c r="C15" s="177"/>
      <c r="D15" s="177"/>
      <c r="E15" s="177"/>
      <c r="F15" s="177"/>
      <c r="G15" s="177"/>
      <c r="H15" s="177"/>
      <c r="I15" s="177"/>
      <c r="J15" s="177"/>
      <c r="K15" s="177"/>
      <c r="L15" s="18"/>
    </row>
    <row r="16" spans="1:12" ht="15" customHeight="1" x14ac:dyDescent="0.25">
      <c r="A16" s="177"/>
      <c r="B16" s="177"/>
      <c r="C16" s="177"/>
      <c r="D16" s="177"/>
      <c r="E16" s="177"/>
      <c r="F16" s="177"/>
      <c r="G16" s="177"/>
      <c r="H16" s="177"/>
      <c r="I16" s="177"/>
      <c r="J16" s="177"/>
      <c r="K16" s="177"/>
    </row>
    <row r="17" spans="1:12" x14ac:dyDescent="0.25">
      <c r="A17" s="70"/>
      <c r="B17" s="70"/>
      <c r="C17" s="70"/>
      <c r="D17" s="70"/>
      <c r="E17" s="70"/>
      <c r="F17" s="70"/>
      <c r="G17" s="70"/>
      <c r="H17" s="70"/>
      <c r="I17" s="70"/>
      <c r="J17" s="70"/>
    </row>
    <row r="18" spans="1:12" x14ac:dyDescent="0.25">
      <c r="A18" s="21"/>
      <c r="B18" s="21"/>
      <c r="C18" s="21"/>
      <c r="D18" s="21"/>
      <c r="E18" s="21"/>
      <c r="F18" s="21"/>
      <c r="G18" s="21"/>
      <c r="H18" s="21"/>
      <c r="I18" s="21"/>
      <c r="J18" s="21"/>
      <c r="K18" s="20"/>
      <c r="L18" s="20"/>
    </row>
    <row r="19" spans="1:12" x14ac:dyDescent="0.25">
      <c r="A19" s="177" t="s">
        <v>107</v>
      </c>
      <c r="B19" s="177"/>
      <c r="C19" s="177"/>
      <c r="D19" s="177"/>
      <c r="E19" s="177"/>
      <c r="F19" s="177"/>
      <c r="G19" s="177"/>
      <c r="H19" s="177"/>
      <c r="I19" s="177"/>
      <c r="J19" s="177"/>
      <c r="K19" s="10"/>
      <c r="L19" s="18"/>
    </row>
    <row r="20" spans="1:12" x14ac:dyDescent="0.25">
      <c r="A20" s="177"/>
      <c r="B20" s="177"/>
      <c r="C20" s="177"/>
      <c r="D20" s="177"/>
      <c r="E20" s="177"/>
      <c r="F20" s="177"/>
      <c r="G20" s="177"/>
      <c r="H20" s="177"/>
      <c r="I20" s="177"/>
      <c r="J20" s="177"/>
      <c r="K20" s="10"/>
      <c r="L20" s="10"/>
    </row>
    <row r="21" spans="1:12" x14ac:dyDescent="0.25">
      <c r="A21" s="75"/>
      <c r="B21" s="75"/>
      <c r="C21" s="75"/>
      <c r="D21" s="75"/>
      <c r="E21" s="75"/>
      <c r="F21" s="75"/>
      <c r="G21" s="75"/>
      <c r="H21" s="75"/>
      <c r="I21" s="75"/>
      <c r="J21" s="75"/>
      <c r="L21" s="10"/>
    </row>
    <row r="22" spans="1:12" x14ac:dyDescent="0.25">
      <c r="A22" s="21"/>
      <c r="B22" s="21"/>
      <c r="C22" s="21"/>
      <c r="D22" s="21"/>
      <c r="E22" s="21"/>
      <c r="F22" s="21"/>
      <c r="G22" s="21"/>
      <c r="H22" s="21"/>
      <c r="I22" s="21"/>
      <c r="J22" s="21"/>
      <c r="K22" s="20"/>
      <c r="L22" s="10"/>
    </row>
    <row r="23" spans="1:12" ht="15" customHeight="1" x14ac:dyDescent="0.25">
      <c r="A23" s="177" t="s">
        <v>108</v>
      </c>
      <c r="B23" s="177"/>
      <c r="C23" s="177"/>
      <c r="D23" s="177"/>
      <c r="E23" s="177"/>
      <c r="F23" s="177"/>
      <c r="G23" s="177"/>
      <c r="H23" s="177"/>
      <c r="I23" s="177"/>
      <c r="J23" s="177"/>
      <c r="L23" s="18"/>
    </row>
    <row r="24" spans="1:12" x14ac:dyDescent="0.25">
      <c r="A24" s="177"/>
      <c r="B24" s="177"/>
      <c r="C24" s="177"/>
      <c r="D24" s="177"/>
      <c r="E24" s="177"/>
      <c r="F24" s="177"/>
      <c r="G24" s="177"/>
      <c r="H24" s="177"/>
      <c r="I24" s="177"/>
      <c r="J24" s="177"/>
    </row>
    <row r="25" spans="1:12" x14ac:dyDescent="0.25">
      <c r="A25" s="28"/>
      <c r="B25" s="28"/>
      <c r="C25" s="28"/>
      <c r="D25" s="28"/>
      <c r="E25" s="28"/>
      <c r="F25" s="28"/>
      <c r="G25" s="28"/>
      <c r="H25" s="28"/>
      <c r="I25" s="28"/>
      <c r="J25" s="28"/>
    </row>
    <row r="26" spans="1:12" x14ac:dyDescent="0.25">
      <c r="A26" s="21"/>
      <c r="B26" s="21"/>
      <c r="C26" s="21"/>
      <c r="D26" s="21"/>
      <c r="E26" s="21"/>
      <c r="F26" s="21"/>
      <c r="G26" s="21"/>
      <c r="H26" s="21"/>
      <c r="I26" s="21"/>
      <c r="J26" s="21"/>
      <c r="K26" s="20"/>
      <c r="L26" s="20"/>
    </row>
    <row r="27" spans="1:12" x14ac:dyDescent="0.25">
      <c r="A27" s="177" t="s">
        <v>109</v>
      </c>
      <c r="B27" s="177"/>
      <c r="C27" s="177"/>
      <c r="D27" s="177"/>
      <c r="E27" s="177"/>
      <c r="F27" s="177"/>
      <c r="G27" s="177"/>
      <c r="H27" s="177"/>
      <c r="I27" s="177"/>
      <c r="J27" s="177"/>
      <c r="L27" s="18"/>
    </row>
    <row r="28" spans="1:12" x14ac:dyDescent="0.25">
      <c r="A28" s="51"/>
      <c r="B28" s="51"/>
      <c r="C28" s="51"/>
      <c r="D28" s="51"/>
      <c r="E28" s="51"/>
      <c r="F28" s="51"/>
      <c r="G28" s="51"/>
      <c r="H28" s="51"/>
      <c r="I28" s="51"/>
      <c r="J28" s="51"/>
    </row>
    <row r="29" spans="1:12" x14ac:dyDescent="0.25">
      <c r="A29" s="22"/>
      <c r="B29" s="22"/>
      <c r="C29" s="22"/>
      <c r="D29" s="22"/>
      <c r="E29" s="22"/>
      <c r="F29" s="22"/>
      <c r="G29" s="22"/>
      <c r="H29" s="22"/>
      <c r="I29" s="22"/>
      <c r="J29" s="22"/>
      <c r="K29" s="20"/>
      <c r="L29" s="20"/>
    </row>
    <row r="30" spans="1:12" x14ac:dyDescent="0.25">
      <c r="A30" s="178" t="s">
        <v>110</v>
      </c>
      <c r="B30" s="178"/>
      <c r="C30" s="178"/>
      <c r="D30" s="178"/>
      <c r="E30" s="178"/>
      <c r="F30" s="178"/>
      <c r="G30" s="178"/>
      <c r="H30" s="178"/>
      <c r="I30" s="178"/>
      <c r="J30" s="178"/>
      <c r="K30" s="10"/>
      <c r="L30" s="18"/>
    </row>
    <row r="31" spans="1:12" x14ac:dyDescent="0.25">
      <c r="A31" s="51"/>
      <c r="B31" s="51"/>
      <c r="C31" s="51"/>
      <c r="D31" s="51"/>
      <c r="E31" s="51"/>
      <c r="F31" s="51"/>
      <c r="G31" s="51"/>
      <c r="H31" s="51"/>
      <c r="I31" s="51"/>
      <c r="J31" s="51"/>
      <c r="K31" s="51"/>
    </row>
    <row r="32" spans="1:12" x14ac:dyDescent="0.25">
      <c r="A32" s="76"/>
      <c r="B32" s="76"/>
      <c r="C32" s="76"/>
      <c r="D32" s="76"/>
      <c r="E32" s="76"/>
      <c r="F32" s="76"/>
      <c r="G32" s="76"/>
      <c r="H32" s="76"/>
      <c r="I32" s="76"/>
      <c r="J32" s="76"/>
      <c r="K32" s="10"/>
    </row>
    <row r="33" spans="1:12" ht="15" customHeight="1" x14ac:dyDescent="0.25">
      <c r="A33" s="178" t="s">
        <v>142</v>
      </c>
      <c r="B33" s="178"/>
      <c r="C33" s="178"/>
      <c r="D33" s="178"/>
      <c r="E33" s="178"/>
      <c r="F33" s="178"/>
      <c r="G33" s="178"/>
      <c r="H33" s="178"/>
      <c r="I33" s="178"/>
      <c r="J33" s="178"/>
      <c r="K33" s="10"/>
      <c r="L33" s="18"/>
    </row>
    <row r="34" spans="1:12" x14ac:dyDescent="0.25">
      <c r="A34" s="178"/>
      <c r="B34" s="178"/>
      <c r="C34" s="178"/>
      <c r="D34" s="178"/>
      <c r="E34" s="178"/>
      <c r="F34" s="178"/>
      <c r="G34" s="178"/>
      <c r="H34" s="178"/>
      <c r="I34" s="178"/>
      <c r="J34" s="178"/>
      <c r="K34" s="10"/>
    </row>
    <row r="35" spans="1:12" x14ac:dyDescent="0.25">
      <c r="A35" s="96"/>
      <c r="B35" s="96"/>
      <c r="C35" s="96"/>
      <c r="D35" s="96"/>
      <c r="E35" s="96"/>
      <c r="F35" s="96"/>
      <c r="G35" s="96"/>
      <c r="H35" s="96"/>
      <c r="I35" s="96"/>
      <c r="J35" s="96"/>
      <c r="K35" s="20"/>
    </row>
    <row r="36" spans="1:12" x14ac:dyDescent="0.25">
      <c r="A36" s="178" t="s">
        <v>141</v>
      </c>
      <c r="B36" s="178"/>
      <c r="C36" s="178"/>
      <c r="D36" s="178"/>
      <c r="E36" s="178"/>
      <c r="F36" s="178"/>
      <c r="G36" s="178"/>
      <c r="H36" s="178"/>
      <c r="I36" s="178"/>
      <c r="J36" s="178"/>
      <c r="K36" s="10"/>
      <c r="L36" s="18"/>
    </row>
    <row r="37" spans="1:12" x14ac:dyDescent="0.25">
      <c r="A37" s="51"/>
      <c r="B37" s="51"/>
      <c r="C37" s="51"/>
      <c r="D37" s="51"/>
      <c r="E37" s="51"/>
      <c r="F37" s="51"/>
      <c r="G37" s="51"/>
      <c r="H37" s="51"/>
      <c r="I37" s="51"/>
      <c r="J37" s="51"/>
      <c r="K37" s="51"/>
    </row>
    <row r="38" spans="1:12" x14ac:dyDescent="0.25">
      <c r="A38" s="96"/>
      <c r="B38" s="96"/>
      <c r="C38" s="96"/>
      <c r="D38" s="96"/>
      <c r="E38" s="96"/>
      <c r="F38" s="96"/>
      <c r="G38" s="96"/>
      <c r="H38" s="96"/>
      <c r="I38" s="96"/>
      <c r="J38" s="96"/>
      <c r="K38" s="20"/>
    </row>
    <row r="39" spans="1:12" x14ac:dyDescent="0.25">
      <c r="A39" s="178" t="s">
        <v>111</v>
      </c>
      <c r="B39" s="178"/>
      <c r="C39" s="178"/>
      <c r="D39" s="178"/>
      <c r="E39" s="178"/>
      <c r="F39" s="178"/>
      <c r="G39" s="178"/>
      <c r="H39" s="178"/>
      <c r="I39" s="178"/>
      <c r="J39" s="178"/>
      <c r="K39" s="10"/>
      <c r="L39" s="18"/>
    </row>
    <row r="40" spans="1:12" x14ac:dyDescent="0.25">
      <c r="A40" s="178"/>
      <c r="B40" s="178"/>
      <c r="C40" s="178"/>
      <c r="D40" s="178"/>
      <c r="E40" s="178"/>
      <c r="F40" s="178"/>
      <c r="G40" s="178"/>
      <c r="H40" s="178"/>
      <c r="I40" s="178"/>
      <c r="J40" s="178"/>
      <c r="K40" s="10"/>
    </row>
    <row r="41" spans="1:12" x14ac:dyDescent="0.25">
      <c r="A41" s="51"/>
      <c r="B41" s="51"/>
      <c r="C41" s="51"/>
      <c r="D41" s="51"/>
      <c r="E41" s="51"/>
      <c r="F41" s="51"/>
      <c r="G41" s="51"/>
      <c r="H41" s="51"/>
      <c r="I41" s="51"/>
      <c r="J41" s="51"/>
    </row>
    <row r="42" spans="1:12" x14ac:dyDescent="0.25">
      <c r="A42" s="22"/>
      <c r="B42" s="22"/>
      <c r="C42" s="22"/>
      <c r="D42" s="22"/>
      <c r="E42" s="22"/>
      <c r="F42" s="22"/>
      <c r="G42" s="22"/>
      <c r="H42" s="22"/>
      <c r="I42" s="22"/>
      <c r="J42" s="22"/>
      <c r="K42" s="20"/>
      <c r="L42" s="20"/>
    </row>
    <row r="43" spans="1:12" x14ac:dyDescent="0.25">
      <c r="A43" s="177" t="s">
        <v>137</v>
      </c>
      <c r="B43" s="177"/>
      <c r="C43" s="177"/>
      <c r="D43" s="177"/>
      <c r="E43" s="177"/>
      <c r="F43" s="177"/>
      <c r="G43" s="177"/>
      <c r="H43" s="177"/>
      <c r="I43" s="177"/>
      <c r="J43" s="177"/>
      <c r="L43" s="18"/>
    </row>
    <row r="44" spans="1:12" x14ac:dyDescent="0.25">
      <c r="A44" s="177"/>
      <c r="B44" s="177"/>
      <c r="C44" s="177"/>
      <c r="D44" s="177"/>
      <c r="E44" s="177"/>
      <c r="F44" s="177"/>
      <c r="G44" s="177"/>
      <c r="H44" s="177"/>
      <c r="I44" s="177"/>
      <c r="J44" s="177"/>
    </row>
    <row r="45" spans="1:12" x14ac:dyDescent="0.25">
      <c r="A45" s="16"/>
      <c r="B45" s="16"/>
      <c r="C45" s="17" t="s">
        <v>47</v>
      </c>
      <c r="D45" s="17" t="s">
        <v>45</v>
      </c>
      <c r="E45" s="16"/>
      <c r="F45" s="16"/>
      <c r="G45" s="16"/>
      <c r="H45" s="16"/>
      <c r="I45" s="16"/>
      <c r="J45" s="16"/>
    </row>
    <row r="46" spans="1:12" x14ac:dyDescent="0.25">
      <c r="A46" s="16"/>
      <c r="B46" s="16"/>
      <c r="C46" s="52" t="s">
        <v>57</v>
      </c>
      <c r="D46" s="86">
        <f>SUMIF(Tabela2[DEPARTAMENTO],C46,Tabela2[VALOR TOTAL])</f>
        <v>1491.8</v>
      </c>
      <c r="E46" s="16"/>
      <c r="F46" s="16"/>
      <c r="G46" s="16"/>
      <c r="H46" s="16"/>
      <c r="I46" s="16"/>
      <c r="J46" s="16"/>
    </row>
    <row r="47" spans="1:12" x14ac:dyDescent="0.25">
      <c r="A47" s="53"/>
      <c r="B47" s="53"/>
      <c r="C47" s="53"/>
      <c r="D47" s="53"/>
      <c r="E47" s="53"/>
      <c r="F47" s="53"/>
      <c r="G47" s="53"/>
      <c r="H47" s="53"/>
      <c r="I47" s="53"/>
      <c r="J47" s="53"/>
    </row>
    <row r="48" spans="1:12" x14ac:dyDescent="0.25">
      <c r="A48" s="54"/>
      <c r="B48" s="54"/>
      <c r="C48" s="54"/>
      <c r="D48" s="54"/>
      <c r="E48" s="54"/>
      <c r="F48" s="54"/>
      <c r="G48" s="54"/>
      <c r="H48" s="54"/>
      <c r="I48" s="54"/>
      <c r="J48" s="54"/>
      <c r="K48" s="20"/>
      <c r="L48" s="20"/>
    </row>
    <row r="49" spans="1:12" ht="15" customHeight="1" x14ac:dyDescent="0.25">
      <c r="A49" s="178" t="s">
        <v>116</v>
      </c>
      <c r="B49" s="178"/>
      <c r="C49" s="178"/>
      <c r="D49" s="178"/>
      <c r="E49" s="178"/>
      <c r="F49" s="178"/>
      <c r="G49" s="178"/>
      <c r="H49" s="178"/>
      <c r="I49" s="178"/>
      <c r="J49" s="178"/>
      <c r="L49" s="18"/>
    </row>
    <row r="50" spans="1:12" x14ac:dyDescent="0.25">
      <c r="A50" s="178"/>
      <c r="B50" s="178"/>
      <c r="C50" s="178"/>
      <c r="D50" s="178"/>
      <c r="E50" s="178"/>
      <c r="F50" s="178"/>
      <c r="G50" s="178"/>
      <c r="H50" s="178"/>
      <c r="I50" s="178"/>
      <c r="J50" s="178"/>
    </row>
    <row r="51" spans="1:12" x14ac:dyDescent="0.25">
      <c r="A51" s="53"/>
      <c r="B51" s="53"/>
      <c r="C51" s="53"/>
      <c r="D51" s="53"/>
      <c r="E51" s="53"/>
      <c r="F51" s="53"/>
      <c r="G51" s="53"/>
      <c r="H51" s="53"/>
      <c r="I51" s="53"/>
      <c r="J51" s="53"/>
    </row>
    <row r="52" spans="1:12" x14ac:dyDescent="0.25">
      <c r="A52" s="54"/>
      <c r="B52" s="54"/>
      <c r="C52" s="54"/>
      <c r="D52" s="54"/>
      <c r="E52" s="54"/>
      <c r="F52" s="54"/>
      <c r="G52" s="54"/>
      <c r="H52" s="54"/>
      <c r="I52" s="54"/>
      <c r="J52" s="54"/>
      <c r="K52" s="20"/>
      <c r="L52" s="20"/>
    </row>
    <row r="53" spans="1:12" x14ac:dyDescent="0.25">
      <c r="A53" s="179" t="s">
        <v>152</v>
      </c>
      <c r="B53" s="179"/>
      <c r="C53" s="179"/>
      <c r="D53" s="179"/>
      <c r="E53" s="179"/>
      <c r="F53" s="179"/>
      <c r="G53" s="179"/>
      <c r="H53" s="179"/>
      <c r="I53" s="179"/>
      <c r="J53" s="179"/>
      <c r="K53" s="85"/>
    </row>
    <row r="54" spans="1:12" x14ac:dyDescent="0.25">
      <c r="A54" s="179"/>
      <c r="B54" s="179"/>
      <c r="C54" s="179"/>
      <c r="D54" s="179"/>
      <c r="E54" s="179"/>
      <c r="F54" s="179"/>
      <c r="G54" s="179"/>
      <c r="H54" s="179"/>
      <c r="I54" s="179"/>
      <c r="J54" s="179"/>
      <c r="K54" s="85"/>
    </row>
    <row r="55" spans="1:12" x14ac:dyDescent="0.25">
      <c r="A55" s="9" t="s">
        <v>120</v>
      </c>
      <c r="B55" s="9" t="s">
        <v>118</v>
      </c>
      <c r="E55" s="81" t="s">
        <v>118</v>
      </c>
      <c r="F55" s="81" t="s">
        <v>119</v>
      </c>
      <c r="G55" s="81" t="s">
        <v>120</v>
      </c>
    </row>
    <row r="56" spans="1:12" x14ac:dyDescent="0.25">
      <c r="A56" s="6" t="s">
        <v>121</v>
      </c>
      <c r="B56" s="142">
        <f>INDEX($E$56:$E$61,MATCH(A56,$G$56:$G$61,0))</f>
        <v>16532</v>
      </c>
      <c r="E56" s="83">
        <v>21747</v>
      </c>
      <c r="F56" s="83">
        <v>39439</v>
      </c>
      <c r="G56" s="84" t="s">
        <v>117</v>
      </c>
      <c r="L56" s="18"/>
    </row>
    <row r="57" spans="1:12" x14ac:dyDescent="0.25">
      <c r="A57" s="6" t="s">
        <v>124</v>
      </c>
      <c r="B57" s="142">
        <f>INDEX($E$56:$E$61,MATCH(A57,$G$56:$G$61,0))</f>
        <v>36994</v>
      </c>
      <c r="E57" s="83">
        <v>16532</v>
      </c>
      <c r="F57" s="83">
        <v>38272</v>
      </c>
      <c r="G57" s="84" t="s">
        <v>121</v>
      </c>
    </row>
    <row r="58" spans="1:12" x14ac:dyDescent="0.25">
      <c r="E58" s="83">
        <v>35339</v>
      </c>
      <c r="F58" s="83">
        <v>47124</v>
      </c>
      <c r="G58" s="84" t="s">
        <v>122</v>
      </c>
    </row>
    <row r="59" spans="1:12" x14ac:dyDescent="0.25">
      <c r="E59" s="83">
        <v>27142</v>
      </c>
      <c r="F59" s="83">
        <v>48350</v>
      </c>
      <c r="G59" s="84" t="s">
        <v>123</v>
      </c>
    </row>
    <row r="60" spans="1:12" x14ac:dyDescent="0.25">
      <c r="E60" s="83">
        <v>36994</v>
      </c>
      <c r="F60" s="83">
        <v>18606</v>
      </c>
      <c r="G60" s="84" t="s">
        <v>124</v>
      </c>
    </row>
    <row r="61" spans="1:12" x14ac:dyDescent="0.25">
      <c r="E61" s="83">
        <v>45809</v>
      </c>
      <c r="F61" s="83">
        <v>11617</v>
      </c>
      <c r="G61" s="84" t="s">
        <v>125</v>
      </c>
    </row>
    <row r="62" spans="1:12" x14ac:dyDescent="0.25">
      <c r="A62" s="53"/>
      <c r="B62" s="53"/>
      <c r="C62" s="53"/>
      <c r="D62" s="53"/>
      <c r="E62" s="53"/>
      <c r="F62" s="53"/>
      <c r="G62" s="53"/>
      <c r="H62" s="53"/>
      <c r="I62" s="53"/>
      <c r="J62" s="53"/>
    </row>
    <row r="63" spans="1:12" x14ac:dyDescent="0.25">
      <c r="A63" s="54"/>
      <c r="B63" s="54"/>
      <c r="C63" s="54"/>
      <c r="D63" s="54"/>
      <c r="E63" s="54"/>
      <c r="F63" s="54"/>
      <c r="G63" s="54"/>
      <c r="H63" s="54"/>
      <c r="I63" s="54"/>
      <c r="J63" s="54"/>
      <c r="K63" s="20"/>
      <c r="L63" s="20"/>
    </row>
    <row r="64" spans="1:12" x14ac:dyDescent="0.25">
      <c r="A64" t="s">
        <v>138</v>
      </c>
    </row>
    <row r="66" spans="1:17" x14ac:dyDescent="0.25">
      <c r="A66" s="90" t="s">
        <v>126</v>
      </c>
      <c r="B66" s="90" t="s">
        <v>127</v>
      </c>
      <c r="E66" s="180" t="s">
        <v>128</v>
      </c>
      <c r="F66" s="180"/>
      <c r="G66" s="180"/>
    </row>
    <row r="67" spans="1:17" x14ac:dyDescent="0.25">
      <c r="A67" s="88">
        <v>2561</v>
      </c>
      <c r="B67" s="91">
        <f>VLOOKUP($A$67:$A$71,$E$68:$G$70,3,1)</f>
        <v>0.03</v>
      </c>
      <c r="E67" s="87" t="s">
        <v>129</v>
      </c>
      <c r="F67" s="87" t="s">
        <v>130</v>
      </c>
      <c r="G67" s="87" t="s">
        <v>127</v>
      </c>
    </row>
    <row r="68" spans="1:17" x14ac:dyDescent="0.25">
      <c r="A68" s="88">
        <v>1300</v>
      </c>
      <c r="B68" s="91">
        <f t="shared" ref="B68:B71" si="0">VLOOKUP($A$67:$A$71,$E$68:$G$70,3,1)</f>
        <v>0.02</v>
      </c>
      <c r="E68" s="88">
        <v>0</v>
      </c>
      <c r="F68" s="88">
        <v>1000</v>
      </c>
      <c r="G68" s="89">
        <v>0.01</v>
      </c>
      <c r="L68" s="18"/>
    </row>
    <row r="69" spans="1:17" x14ac:dyDescent="0.25">
      <c r="A69" s="88">
        <v>2623</v>
      </c>
      <c r="B69" s="91">
        <f t="shared" si="0"/>
        <v>0.03</v>
      </c>
      <c r="E69" s="88">
        <v>1001</v>
      </c>
      <c r="F69" s="88">
        <v>2000</v>
      </c>
      <c r="G69" s="89">
        <v>0.02</v>
      </c>
    </row>
    <row r="70" spans="1:17" x14ac:dyDescent="0.25">
      <c r="A70" s="88">
        <v>854</v>
      </c>
      <c r="B70" s="91">
        <f t="shared" si="0"/>
        <v>0.01</v>
      </c>
      <c r="E70" s="88">
        <v>2001</v>
      </c>
      <c r="F70" s="88" t="s">
        <v>136</v>
      </c>
      <c r="G70" s="89">
        <v>0.03</v>
      </c>
    </row>
    <row r="71" spans="1:17" x14ac:dyDescent="0.25">
      <c r="A71" s="88">
        <v>139</v>
      </c>
      <c r="B71" s="91">
        <f t="shared" si="0"/>
        <v>0.01</v>
      </c>
    </row>
    <row r="72" spans="1:17" x14ac:dyDescent="0.25">
      <c r="A72" s="53"/>
      <c r="B72" s="53"/>
      <c r="C72" s="53"/>
      <c r="D72" s="53"/>
      <c r="E72" s="53"/>
      <c r="F72" s="53"/>
      <c r="G72" s="53"/>
      <c r="H72" s="53"/>
      <c r="I72" s="53"/>
      <c r="J72" s="53"/>
    </row>
    <row r="73" spans="1:17" x14ac:dyDescent="0.25">
      <c r="A73" s="54"/>
      <c r="B73" s="54"/>
      <c r="C73" s="54"/>
      <c r="D73" s="54"/>
      <c r="E73" s="54"/>
      <c r="F73" s="54"/>
      <c r="G73" s="54"/>
      <c r="H73" s="54"/>
      <c r="I73" s="54"/>
      <c r="J73" s="54"/>
      <c r="K73" s="20"/>
      <c r="L73" s="20"/>
    </row>
    <row r="74" spans="1:17" x14ac:dyDescent="0.25">
      <c r="A74" s="181" t="s">
        <v>153</v>
      </c>
      <c r="B74" s="181"/>
      <c r="C74" s="181"/>
      <c r="D74" s="181"/>
      <c r="E74" s="181"/>
      <c r="F74" s="181"/>
      <c r="G74" s="181"/>
      <c r="H74" s="181"/>
      <c r="I74" s="181"/>
      <c r="J74" s="181"/>
    </row>
    <row r="75" spans="1:17" x14ac:dyDescent="0.25">
      <c r="A75" s="181"/>
      <c r="B75" s="181"/>
      <c r="C75" s="181"/>
      <c r="D75" s="181"/>
      <c r="E75" s="181"/>
      <c r="F75" s="181"/>
      <c r="G75" s="181"/>
      <c r="H75" s="181"/>
      <c r="I75" s="181"/>
      <c r="J75" s="181"/>
    </row>
    <row r="76" spans="1:17" x14ac:dyDescent="0.25">
      <c r="D76" s="182" t="s">
        <v>132</v>
      </c>
      <c r="E76" s="182"/>
      <c r="F76" s="182"/>
      <c r="G76" s="182"/>
    </row>
    <row r="77" spans="1:17" x14ac:dyDescent="0.25">
      <c r="C77" t="s">
        <v>154</v>
      </c>
      <c r="D77" s="81">
        <v>1</v>
      </c>
      <c r="E77" s="81">
        <v>2</v>
      </c>
      <c r="F77" s="81">
        <v>3</v>
      </c>
      <c r="G77" s="81">
        <v>4</v>
      </c>
      <c r="H77" t="s">
        <v>156</v>
      </c>
      <c r="Q77" s="152">
        <v>1</v>
      </c>
    </row>
    <row r="78" spans="1:17" x14ac:dyDescent="0.25">
      <c r="A78" s="93" t="s">
        <v>133</v>
      </c>
      <c r="B78" s="94">
        <v>1</v>
      </c>
      <c r="C78" s="11"/>
      <c r="D78" s="82">
        <v>7189</v>
      </c>
      <c r="E78" s="82">
        <v>5651</v>
      </c>
      <c r="F78" s="82">
        <v>4553</v>
      </c>
      <c r="G78" s="82">
        <v>3340</v>
      </c>
      <c r="H78" t="s">
        <v>157</v>
      </c>
      <c r="Q78" s="6"/>
    </row>
    <row r="79" spans="1:17" x14ac:dyDescent="0.25">
      <c r="A79" s="93" t="s">
        <v>131</v>
      </c>
      <c r="B79" s="92">
        <f ca="1">SUM(OFFSET(C78,0,B78,4,1))</f>
        <v>25521</v>
      </c>
      <c r="C79" s="151"/>
      <c r="D79" s="82">
        <v>8468</v>
      </c>
      <c r="E79" s="82">
        <v>9665</v>
      </c>
      <c r="F79" s="82">
        <v>4297</v>
      </c>
      <c r="G79" s="82">
        <v>5909</v>
      </c>
      <c r="H79" t="s">
        <v>155</v>
      </c>
      <c r="L79" s="18"/>
    </row>
    <row r="80" spans="1:17" ht="15.75" thickBot="1" x14ac:dyDescent="0.3">
      <c r="D80" s="82">
        <v>4079</v>
      </c>
      <c r="E80" s="82">
        <v>4561</v>
      </c>
      <c r="F80" s="82">
        <v>3732</v>
      </c>
      <c r="G80" s="82">
        <v>8432</v>
      </c>
      <c r="H80" t="s">
        <v>158</v>
      </c>
    </row>
    <row r="81" spans="1:12" ht="15.75" thickBot="1" x14ac:dyDescent="0.3">
      <c r="A81" s="149" t="s">
        <v>133</v>
      </c>
      <c r="B81" s="150">
        <v>4</v>
      </c>
      <c r="C81" s="11"/>
      <c r="D81" s="144">
        <v>5785</v>
      </c>
      <c r="E81" s="144">
        <v>4214</v>
      </c>
      <c r="F81" s="144">
        <v>8625</v>
      </c>
      <c r="G81" s="144">
        <v>6645</v>
      </c>
    </row>
    <row r="82" spans="1:12" ht="15.75" thickBot="1" x14ac:dyDescent="0.3">
      <c r="A82" s="143" t="s">
        <v>131</v>
      </c>
      <c r="B82" s="148">
        <f ca="1">SUM(OFFSET(D78,0,0,4,B81))</f>
        <v>95145</v>
      </c>
      <c r="C82" s="11"/>
      <c r="D82" s="145">
        <f>SUM(D78:D81)</f>
        <v>25521</v>
      </c>
      <c r="E82" s="146">
        <f>SUM(E78:E81)</f>
        <v>24091</v>
      </c>
      <c r="F82" s="146">
        <f>SUM(F78:F81)</f>
        <v>21207</v>
      </c>
      <c r="G82" s="147">
        <f>SUM(G78:G81)</f>
        <v>24326</v>
      </c>
    </row>
    <row r="84" spans="1:12" x14ac:dyDescent="0.25">
      <c r="A84" s="21"/>
      <c r="B84" s="21"/>
      <c r="C84" s="21"/>
      <c r="D84" s="21"/>
      <c r="E84" s="21"/>
      <c r="F84" s="21"/>
      <c r="G84" s="21"/>
      <c r="H84" s="21"/>
      <c r="I84" s="21"/>
      <c r="J84" s="21"/>
      <c r="K84" s="20"/>
      <c r="L84" s="20"/>
    </row>
    <row r="85" spans="1:12" x14ac:dyDescent="0.25">
      <c r="A85" s="178" t="s">
        <v>134</v>
      </c>
      <c r="B85" s="178"/>
      <c r="C85" s="178"/>
      <c r="D85" s="178"/>
      <c r="E85" s="178"/>
      <c r="F85" s="178"/>
      <c r="G85" s="178"/>
      <c r="H85" s="178"/>
      <c r="I85" s="178"/>
      <c r="J85" s="178"/>
      <c r="K85" s="10"/>
      <c r="L85" s="18"/>
    </row>
    <row r="86" spans="1:12" ht="15.75" thickBot="1" x14ac:dyDescent="0.3">
      <c r="A86" s="178"/>
      <c r="B86" s="178"/>
      <c r="C86" s="178"/>
      <c r="D86" s="178"/>
      <c r="E86" s="178"/>
      <c r="F86" s="178"/>
      <c r="G86" s="178"/>
      <c r="H86" s="178"/>
      <c r="I86" s="178"/>
      <c r="J86" s="178"/>
      <c r="K86" s="10"/>
    </row>
    <row r="87" spans="1:12" ht="15.75" thickBot="1" x14ac:dyDescent="0.3">
      <c r="A87" s="154" t="str">
        <f ca="1">CELL("filename")</f>
        <v>C:\Users\CSOUSA\Desktop\Estrutura\Treinamento\EXCEL\[Copy of ExcelAvancadoAula2 - função com macro final.xlsm]AULA  VBA 20.03</v>
      </c>
      <c r="B87" s="155"/>
      <c r="C87" s="155"/>
      <c r="D87" s="155"/>
      <c r="E87" s="156"/>
    </row>
    <row r="88" spans="1:12" x14ac:dyDescent="0.25">
      <c r="A88" s="153"/>
      <c r="B88" s="153"/>
      <c r="C88" s="153"/>
      <c r="D88" s="153"/>
      <c r="E88" s="153"/>
      <c r="F88" s="21"/>
      <c r="G88" s="21"/>
      <c r="H88" s="21"/>
      <c r="I88" s="21"/>
      <c r="J88" s="21"/>
      <c r="K88" s="20"/>
      <c r="L88" s="20"/>
    </row>
    <row r="89" spans="1:12" ht="15" customHeight="1" x14ac:dyDescent="0.25">
      <c r="A89" s="178" t="s">
        <v>135</v>
      </c>
      <c r="B89" s="178"/>
      <c r="C89" s="178"/>
      <c r="D89" s="178"/>
      <c r="E89" s="178"/>
      <c r="F89" s="178"/>
      <c r="G89" s="178"/>
      <c r="H89" s="178"/>
      <c r="I89" s="178"/>
      <c r="J89" s="178"/>
      <c r="K89" s="178"/>
      <c r="L89" s="18"/>
    </row>
    <row r="90" spans="1:12" ht="15" customHeight="1" x14ac:dyDescent="0.25">
      <c r="A90" s="178"/>
      <c r="B90" s="178"/>
      <c r="C90" s="178"/>
      <c r="D90" s="178"/>
      <c r="E90" s="178"/>
      <c r="F90" s="178"/>
      <c r="G90" s="178"/>
      <c r="H90" s="178"/>
      <c r="I90" s="178"/>
      <c r="J90" s="178"/>
      <c r="K90" s="178"/>
    </row>
    <row r="91" spans="1:12" x14ac:dyDescent="0.25">
      <c r="A91" s="78"/>
      <c r="B91" s="77"/>
      <c r="C91" s="77"/>
      <c r="D91" s="77"/>
      <c r="E91" s="77"/>
      <c r="F91" s="77"/>
      <c r="G91" s="77"/>
      <c r="H91" s="77"/>
      <c r="I91" s="77"/>
      <c r="J91" s="77"/>
      <c r="K91" s="10"/>
    </row>
    <row r="92" spans="1:12" x14ac:dyDescent="0.25">
      <c r="A92" s="76"/>
      <c r="B92" s="76"/>
      <c r="C92" s="76"/>
      <c r="D92" s="76"/>
      <c r="E92" s="76"/>
      <c r="F92" s="76"/>
      <c r="G92" s="76"/>
      <c r="H92" s="76"/>
      <c r="I92" s="76"/>
      <c r="J92" s="76"/>
      <c r="K92" s="10"/>
    </row>
    <row r="93" spans="1:12" x14ac:dyDescent="0.25">
      <c r="A93" s="21"/>
      <c r="B93" s="21"/>
      <c r="C93" s="21"/>
      <c r="D93" s="21"/>
      <c r="E93" s="21"/>
      <c r="F93" s="21"/>
      <c r="G93" s="21"/>
      <c r="H93" s="21"/>
      <c r="I93" s="21"/>
      <c r="J93" s="21"/>
      <c r="K93" s="20"/>
      <c r="L93" s="20"/>
    </row>
    <row r="94" spans="1:12" ht="15" customHeight="1" x14ac:dyDescent="0.25">
      <c r="A94" s="178" t="s">
        <v>144</v>
      </c>
      <c r="B94" s="178"/>
      <c r="C94" s="178"/>
      <c r="D94" s="178"/>
      <c r="E94" s="178"/>
      <c r="F94" s="178"/>
      <c r="G94" s="178"/>
      <c r="H94" s="178"/>
      <c r="I94" s="178"/>
      <c r="J94" s="178"/>
      <c r="K94" s="178"/>
      <c r="L94" s="18"/>
    </row>
    <row r="95" spans="1:12" x14ac:dyDescent="0.25">
      <c r="A95" s="178"/>
      <c r="B95" s="178"/>
      <c r="C95" s="178"/>
      <c r="D95" s="178"/>
      <c r="E95" s="178"/>
      <c r="F95" s="178"/>
      <c r="G95" s="178"/>
      <c r="H95" s="178"/>
      <c r="I95" s="178"/>
      <c r="J95" s="178"/>
      <c r="K95" s="178"/>
    </row>
    <row r="96" spans="1:12" x14ac:dyDescent="0.25">
      <c r="A96" s="178"/>
      <c r="B96" s="178"/>
      <c r="C96" s="178"/>
      <c r="D96" s="178"/>
      <c r="E96" s="178"/>
      <c r="F96" s="178"/>
      <c r="G96" s="178"/>
      <c r="H96" s="178"/>
      <c r="I96" s="178"/>
      <c r="J96" s="178"/>
      <c r="K96" s="178"/>
    </row>
    <row r="97" spans="1:16" ht="30" x14ac:dyDescent="0.25">
      <c r="A97" s="79"/>
      <c r="B97" s="76" t="s">
        <v>159</v>
      </c>
      <c r="C97" s="76"/>
      <c r="D97" s="76"/>
      <c r="E97" s="76"/>
      <c r="F97" s="76"/>
      <c r="G97" s="76"/>
      <c r="H97" s="76"/>
      <c r="I97" s="76"/>
      <c r="J97" s="76"/>
      <c r="K97" s="10"/>
    </row>
    <row r="98" spans="1:16" x14ac:dyDescent="0.25">
      <c r="A98" s="21"/>
      <c r="B98" s="21"/>
      <c r="C98" s="21"/>
      <c r="D98" s="21"/>
      <c r="E98" s="21"/>
      <c r="F98" s="21"/>
      <c r="G98" s="21"/>
      <c r="H98" s="21"/>
      <c r="I98" s="21"/>
      <c r="J98" s="21"/>
      <c r="K98" s="20"/>
      <c r="L98" s="20"/>
    </row>
    <row r="99" spans="1:16" ht="15" customHeight="1" x14ac:dyDescent="0.25">
      <c r="A99" s="178" t="s">
        <v>143</v>
      </c>
      <c r="B99" s="178"/>
      <c r="C99" s="178"/>
      <c r="D99" s="178"/>
      <c r="E99" s="178"/>
      <c r="F99" s="178"/>
      <c r="G99" s="178"/>
      <c r="H99" s="178"/>
      <c r="I99" s="178"/>
      <c r="J99" s="178"/>
      <c r="K99" s="178"/>
      <c r="L99" s="18"/>
    </row>
    <row r="100" spans="1:16" ht="30" customHeight="1" x14ac:dyDescent="0.25">
      <c r="A100" s="178"/>
      <c r="B100" s="178"/>
      <c r="C100" s="178"/>
      <c r="D100" s="178"/>
      <c r="E100" s="178"/>
      <c r="F100" s="178"/>
      <c r="G100" s="178"/>
      <c r="H100" s="178"/>
      <c r="I100" s="178"/>
      <c r="J100" s="178"/>
      <c r="K100" s="178"/>
    </row>
    <row r="101" spans="1:16" x14ac:dyDescent="0.25">
      <c r="A101" s="79"/>
      <c r="B101" s="76"/>
      <c r="C101" s="76"/>
      <c r="D101" s="76"/>
      <c r="E101" s="76"/>
      <c r="F101" s="76"/>
      <c r="G101" s="76"/>
      <c r="H101" s="76"/>
      <c r="I101" s="76"/>
      <c r="J101" s="76"/>
      <c r="K101" s="10"/>
    </row>
    <row r="102" spans="1:16" x14ac:dyDescent="0.25">
      <c r="A102" s="76"/>
      <c r="B102" s="76"/>
      <c r="C102" s="76"/>
      <c r="D102" s="76"/>
      <c r="E102" s="76"/>
      <c r="F102" s="76"/>
      <c r="G102" s="76"/>
      <c r="H102" s="76"/>
      <c r="I102" s="76"/>
      <c r="J102" s="76"/>
      <c r="K102" s="10"/>
    </row>
    <row r="103" spans="1:16" x14ac:dyDescent="0.25">
      <c r="A103" s="19"/>
      <c r="B103" s="19"/>
      <c r="C103" s="19"/>
      <c r="D103" s="19"/>
      <c r="E103" s="19"/>
      <c r="F103" s="19"/>
      <c r="G103" s="19"/>
      <c r="H103" s="19"/>
      <c r="I103" s="19"/>
      <c r="J103" s="19"/>
      <c r="K103" s="20"/>
      <c r="L103" s="20"/>
    </row>
    <row r="104" spans="1:16" x14ac:dyDescent="0.25">
      <c r="A104" s="183" t="s">
        <v>73</v>
      </c>
      <c r="B104" s="184"/>
      <c r="C104" s="184"/>
      <c r="D104" s="184"/>
      <c r="E104" s="184"/>
      <c r="F104" s="184"/>
      <c r="G104" s="184"/>
      <c r="H104" s="185"/>
      <c r="I104" s="15"/>
      <c r="J104" s="15"/>
      <c r="M104" s="174" t="s">
        <v>48</v>
      </c>
      <c r="N104" s="175"/>
      <c r="O104" s="175"/>
      <c r="P104" s="176"/>
    </row>
    <row r="105" spans="1:16" x14ac:dyDescent="0.25">
      <c r="A105" s="114" t="s">
        <v>64</v>
      </c>
      <c r="B105" s="115" t="s">
        <v>43</v>
      </c>
      <c r="C105" s="115" t="s">
        <v>44</v>
      </c>
      <c r="D105" s="115" t="s">
        <v>46</v>
      </c>
      <c r="E105" s="115" t="s">
        <v>47</v>
      </c>
      <c r="F105" s="115" t="s">
        <v>7</v>
      </c>
      <c r="G105" s="115" t="s">
        <v>45</v>
      </c>
      <c r="H105" s="116" t="s">
        <v>72</v>
      </c>
      <c r="I105" s="15"/>
      <c r="J105" s="15"/>
      <c r="M105" s="119" t="s">
        <v>43</v>
      </c>
      <c r="N105" s="120" t="s">
        <v>46</v>
      </c>
      <c r="O105" s="120" t="s">
        <v>47</v>
      </c>
      <c r="P105" s="121" t="s">
        <v>7</v>
      </c>
    </row>
    <row r="106" spans="1:16" x14ac:dyDescent="0.25">
      <c r="A106" s="110">
        <v>41791</v>
      </c>
      <c r="B106" s="95">
        <v>5876123</v>
      </c>
      <c r="C106" s="95">
        <v>3</v>
      </c>
      <c r="D106" s="95" t="str">
        <f>VLOOKUP(Tabela2[[#This Row],[CÓDIGO]],Tabela3[[CÓDIGO]:[DESCRIÇÃO]],2,0)</f>
        <v>Antena para Roteador</v>
      </c>
      <c r="E106" s="95" t="str">
        <f>VLOOKUP(Tabela2[[#This Row],[CÓDIGO]],Tabela3[[CÓDIGO]:[DEPARTAMENTO]],3,0)</f>
        <v>Informática</v>
      </c>
      <c r="F106" s="97">
        <f>VLOOKUP(Tabela2[[#This Row],[CÓDIGO]],Tabela3[],4,0)</f>
        <v>15</v>
      </c>
      <c r="G106" s="126">
        <f>F106*C106</f>
        <v>45</v>
      </c>
      <c r="H106" s="124" t="str">
        <f>IF(Tabela2[[#This Row],[QTDE VENDIDA]]*Tabela2[[#This Row],[VALOR UNITÁRIO]]&gt;500,"Meta atingida","Meta não atingida")</f>
        <v>Meta não atingida</v>
      </c>
      <c r="M106" s="117">
        <v>9528758</v>
      </c>
      <c r="N106" s="95" t="s">
        <v>1</v>
      </c>
      <c r="O106" s="95" t="s">
        <v>55</v>
      </c>
      <c r="P106" s="118">
        <v>5</v>
      </c>
    </row>
    <row r="107" spans="1:16" x14ac:dyDescent="0.25">
      <c r="A107" s="110">
        <v>41791</v>
      </c>
      <c r="B107" s="95">
        <v>1449529</v>
      </c>
      <c r="C107" s="95">
        <v>7</v>
      </c>
      <c r="D107" s="95" t="str">
        <f>VLOOKUP(Tabela2[[#This Row],[CÓDIGO]],Tabela3[[CÓDIGO]:[DESCRIÇÃO]],2,0)</f>
        <v>Boombox - Sp163</v>
      </c>
      <c r="E107" s="95" t="str">
        <f>VLOOKUP(Tabela2[[#This Row],[CÓDIGO]],Tabela3[[CÓDIGO]:[DEPARTAMENTO]],3,0)</f>
        <v>EletroEletronico</v>
      </c>
      <c r="F107" s="97">
        <f>VLOOKUP(Tabela2[[#This Row],[CÓDIGO]],Tabela3[],4,0)</f>
        <v>259</v>
      </c>
      <c r="G107" s="126">
        <f t="shared" ref="G107:G117" si="1">F107*C107</f>
        <v>1813</v>
      </c>
      <c r="H107" s="124" t="str">
        <f>IF(Tabela2[[#This Row],[QTDE VENDIDA]]*Tabela2[[#This Row],[VALOR UNITÁRIO]]&gt;500,"Meta atingida","Meta não atingida")</f>
        <v>Meta atingida</v>
      </c>
      <c r="M107" s="117">
        <v>4566432</v>
      </c>
      <c r="N107" s="95" t="s">
        <v>2</v>
      </c>
      <c r="O107" s="95" t="s">
        <v>56</v>
      </c>
      <c r="P107" s="118">
        <v>15</v>
      </c>
    </row>
    <row r="108" spans="1:16" x14ac:dyDescent="0.25">
      <c r="A108" s="110">
        <v>41791</v>
      </c>
      <c r="B108" s="95">
        <v>9528758</v>
      </c>
      <c r="C108" s="95">
        <v>7</v>
      </c>
      <c r="D108" s="95" t="str">
        <f>VLOOKUP(Tabela2[[#This Row],[CÓDIGO]],Tabela3[[CÓDIGO]:[DESCRIÇÃO]],2,0)</f>
        <v>Cadeado</v>
      </c>
      <c r="E108" s="95" t="str">
        <f>VLOOKUP(Tabela2[[#This Row],[CÓDIGO]],Tabela3[[CÓDIGO]:[DEPARTAMENTO]],3,0)</f>
        <v>Segurança</v>
      </c>
      <c r="F108" s="97">
        <f>VLOOKUP(Tabela2[[#This Row],[CÓDIGO]],Tabela3[],4,0)</f>
        <v>5</v>
      </c>
      <c r="G108" s="126">
        <f t="shared" si="1"/>
        <v>35</v>
      </c>
      <c r="H108" s="124" t="str">
        <f>IF(Tabela2[[#This Row],[QTDE VENDIDA]]*Tabela2[[#This Row],[VALOR UNITÁRIO]]&gt;500,"Meta atingida","Meta não atingida")</f>
        <v>Meta não atingida</v>
      </c>
      <c r="M108" s="117">
        <v>5876123</v>
      </c>
      <c r="N108" s="95" t="s">
        <v>3</v>
      </c>
      <c r="O108" s="95" t="s">
        <v>57</v>
      </c>
      <c r="P108" s="118">
        <v>15</v>
      </c>
    </row>
    <row r="109" spans="1:16" x14ac:dyDescent="0.25">
      <c r="A109" s="110">
        <v>41791</v>
      </c>
      <c r="B109" s="95">
        <v>4136353</v>
      </c>
      <c r="C109" s="95">
        <v>9</v>
      </c>
      <c r="D109" s="95" t="str">
        <f>VLOOKUP(Tabela2[[#This Row],[CÓDIGO]],Tabela3[[CÓDIGO]:[DESCRIÇÃO]],2,0)</f>
        <v>Ciclocomputador</v>
      </c>
      <c r="E109" s="95" t="str">
        <f>VLOOKUP(Tabela2[[#This Row],[CÓDIGO]],Tabela3[[CÓDIGO]:[DEPARTAMENTO]],3,0)</f>
        <v>Informática</v>
      </c>
      <c r="F109" s="97">
        <f>VLOOKUP(Tabela2[[#This Row],[CÓDIGO]],Tabela3[],4,0)</f>
        <v>45</v>
      </c>
      <c r="G109" s="126">
        <f t="shared" si="1"/>
        <v>405</v>
      </c>
      <c r="H109" s="124" t="str">
        <f>IF(Tabela2[[#This Row],[QTDE VENDIDA]]*Tabela2[[#This Row],[VALOR UNITÁRIO]]&gt;500,"Meta atingida","Meta não atingida")</f>
        <v>Meta não atingida</v>
      </c>
      <c r="M109" s="117">
        <v>4136353</v>
      </c>
      <c r="N109" s="95" t="s">
        <v>4</v>
      </c>
      <c r="O109" s="95" t="s">
        <v>57</v>
      </c>
      <c r="P109" s="118">
        <v>45</v>
      </c>
    </row>
    <row r="110" spans="1:16" x14ac:dyDescent="0.25">
      <c r="A110" s="110">
        <v>41791</v>
      </c>
      <c r="B110" s="95">
        <v>8612645</v>
      </c>
      <c r="C110" s="95">
        <v>4</v>
      </c>
      <c r="D110" s="95" t="str">
        <f>VLOOKUP(Tabela2[[#This Row],[CÓDIGO]],Tabela3[[CÓDIGO]:[DESCRIÇÃO]],2,0)</f>
        <v>Conector RJ 45</v>
      </c>
      <c r="E110" s="95" t="str">
        <f>VLOOKUP(Tabela2[[#This Row],[CÓDIGO]],Tabela3[[CÓDIGO]:[DEPARTAMENTO]],3,0)</f>
        <v>Informática</v>
      </c>
      <c r="F110" s="97">
        <f>VLOOKUP(Tabela2[[#This Row],[CÓDIGO]],Tabela3[],4,0)</f>
        <v>0.45</v>
      </c>
      <c r="G110" s="126">
        <f t="shared" si="1"/>
        <v>1.8</v>
      </c>
      <c r="H110" s="124" t="str">
        <f>IF(Tabela2[[#This Row],[QTDE VENDIDA]]*Tabela2[[#This Row],[VALOR UNITÁRIO]]&gt;500,"Meta atingida","Meta não atingida")</f>
        <v>Meta não atingida</v>
      </c>
      <c r="M110" s="117">
        <v>8612645</v>
      </c>
      <c r="N110" s="95" t="s">
        <v>5</v>
      </c>
      <c r="O110" s="95" t="s">
        <v>57</v>
      </c>
      <c r="P110" s="118">
        <v>0.45</v>
      </c>
    </row>
    <row r="111" spans="1:16" x14ac:dyDescent="0.25">
      <c r="A111" s="110">
        <v>41791</v>
      </c>
      <c r="B111" s="95">
        <v>4566432</v>
      </c>
      <c r="C111" s="95">
        <v>29</v>
      </c>
      <c r="D111" s="95" t="str">
        <f>VLOOKUP(Tabela2[[#This Row],[CÓDIGO]],Tabela3[[CÓDIGO]:[DESCRIÇÃO]],2,0)</f>
        <v>Farol Plástico</v>
      </c>
      <c r="E111" s="95" t="str">
        <f>VLOOKUP(Tabela2[[#This Row],[CÓDIGO]],Tabela3[[CÓDIGO]:[DEPARTAMENTO]],3,0)</f>
        <v>Iluminação</v>
      </c>
      <c r="F111" s="97">
        <f>VLOOKUP(Tabela2[[#This Row],[CÓDIGO]],Tabela3[],4,0)</f>
        <v>15</v>
      </c>
      <c r="G111" s="126">
        <f t="shared" si="1"/>
        <v>435</v>
      </c>
      <c r="H111" s="124" t="str">
        <f>IF(Tabela2[[#This Row],[QTDE VENDIDA]]*Tabela2[[#This Row],[VALOR UNITÁRIO]]&gt;500,"Meta atingida","Meta não atingida")</f>
        <v>Meta não atingida</v>
      </c>
      <c r="M111" s="117">
        <v>5978462</v>
      </c>
      <c r="N111" s="95" t="s">
        <v>49</v>
      </c>
      <c r="O111" s="95" t="s">
        <v>56</v>
      </c>
      <c r="P111" s="118">
        <v>5</v>
      </c>
    </row>
    <row r="112" spans="1:16" x14ac:dyDescent="0.25">
      <c r="A112" s="110">
        <v>41791</v>
      </c>
      <c r="B112" s="95">
        <v>7595263</v>
      </c>
      <c r="C112" s="95">
        <v>5</v>
      </c>
      <c r="D112" s="95" t="str">
        <f>VLOOKUP(Tabela2[[#This Row],[CÓDIGO]],Tabela3[[CÓDIGO]:[DESCRIÇÃO]],2,0)</f>
        <v>Freedom</v>
      </c>
      <c r="E112" s="95" t="str">
        <f>VLOOKUP(Tabela2[[#This Row],[CÓDIGO]],Tabela3[[CÓDIGO]:[DEPARTAMENTO]],3,0)</f>
        <v>Auto</v>
      </c>
      <c r="F112" s="97">
        <f>VLOOKUP(Tabela2[[#This Row],[CÓDIGO]],Tabela3[],4,0)</f>
        <v>250</v>
      </c>
      <c r="G112" s="126">
        <f t="shared" si="1"/>
        <v>1250</v>
      </c>
      <c r="H112" s="124" t="str">
        <f>IF(Tabela2[[#This Row],[QTDE VENDIDA]]*Tabela2[[#This Row],[VALOR UNITÁRIO]]&gt;500,"Meta atingida","Meta não atingida")</f>
        <v>Meta atingida</v>
      </c>
      <c r="M112" s="117">
        <v>6215974</v>
      </c>
      <c r="N112" s="95" t="s">
        <v>50</v>
      </c>
      <c r="O112" s="95" t="s">
        <v>58</v>
      </c>
      <c r="P112" s="118">
        <v>20</v>
      </c>
    </row>
    <row r="113" spans="1:16" x14ac:dyDescent="0.25">
      <c r="A113" s="110">
        <v>41791</v>
      </c>
      <c r="B113" s="95">
        <v>5978462</v>
      </c>
      <c r="C113" s="95">
        <v>26</v>
      </c>
      <c r="D113" s="95" t="str">
        <f>VLOOKUP(Tabela2[[#This Row],[CÓDIGO]],Tabela3[[CÓDIGO]:[DESCRIÇÃO]],2,0)</f>
        <v>Kit Farol</v>
      </c>
      <c r="E113" s="95" t="str">
        <f>VLOOKUP(Tabela2[[#This Row],[CÓDIGO]],Tabela3[[CÓDIGO]:[DEPARTAMENTO]],3,0)</f>
        <v>Iluminação</v>
      </c>
      <c r="F113" s="97">
        <f>VLOOKUP(Tabela2[[#This Row],[CÓDIGO]],Tabela3[],4,0)</f>
        <v>5</v>
      </c>
      <c r="G113" s="126">
        <f t="shared" si="1"/>
        <v>130</v>
      </c>
      <c r="H113" s="124" t="str">
        <f>IF(Tabela2[[#This Row],[QTDE VENDIDA]]*Tabela2[[#This Row],[VALOR UNITÁRIO]]&gt;500,"Meta atingida","Meta não atingida")</f>
        <v>Meta não atingida</v>
      </c>
      <c r="M113" s="117">
        <v>7841796</v>
      </c>
      <c r="N113" s="95" t="s">
        <v>51</v>
      </c>
      <c r="O113" s="95" t="s">
        <v>59</v>
      </c>
      <c r="P113" s="118">
        <v>25</v>
      </c>
    </row>
    <row r="114" spans="1:16" x14ac:dyDescent="0.25">
      <c r="A114" s="110">
        <v>41791</v>
      </c>
      <c r="B114" s="95">
        <v>7841796</v>
      </c>
      <c r="C114" s="95">
        <v>6</v>
      </c>
      <c r="D114" s="95" t="str">
        <f>VLOOKUP(Tabela2[[#This Row],[CÓDIGO]],Tabela3[[CÓDIGO]:[DESCRIÇÃO]],2,0)</f>
        <v>Screet Verde - Es036</v>
      </c>
      <c r="E114" s="95" t="str">
        <f>VLOOKUP(Tabela2[[#This Row],[CÓDIGO]],Tabela3[[CÓDIGO]:[DEPARTAMENTO]],3,0)</f>
        <v>Brinquedos</v>
      </c>
      <c r="F114" s="97">
        <f>VLOOKUP(Tabela2[[#This Row],[CÓDIGO]],Tabela3[],4,0)</f>
        <v>25</v>
      </c>
      <c r="G114" s="126">
        <f t="shared" si="1"/>
        <v>150</v>
      </c>
      <c r="H114" s="124" t="str">
        <f>IF(Tabela2[[#This Row],[QTDE VENDIDA]]*Tabela2[[#This Row],[VALOR UNITÁRIO]]&gt;500,"Meta atingida","Meta não atingida")</f>
        <v>Meta não atingida</v>
      </c>
      <c r="M114" s="117">
        <v>6258446</v>
      </c>
      <c r="N114" s="95" t="s">
        <v>52</v>
      </c>
      <c r="O114" s="95" t="s">
        <v>60</v>
      </c>
      <c r="P114" s="118">
        <v>358</v>
      </c>
    </row>
    <row r="115" spans="1:16" x14ac:dyDescent="0.25">
      <c r="A115" s="110">
        <v>41791</v>
      </c>
      <c r="B115" s="95">
        <v>6215974</v>
      </c>
      <c r="C115" s="95">
        <v>10</v>
      </c>
      <c r="D115" s="95" t="str">
        <f>VLOOKUP(Tabela2[[#This Row],[CÓDIGO]],Tabela3[[CÓDIGO]:[DESCRIÇÃO]],2,0)</f>
        <v>Squeeze Bi014</v>
      </c>
      <c r="E115" s="95" t="str">
        <f>VLOOKUP(Tabela2[[#This Row],[CÓDIGO]],Tabela3[[CÓDIGO]:[DEPARTAMENTO]],3,0)</f>
        <v>Compartimentos</v>
      </c>
      <c r="F115" s="97">
        <f>VLOOKUP(Tabela2[[#This Row],[CÓDIGO]],Tabela3[],4,0)</f>
        <v>20</v>
      </c>
      <c r="G115" s="126">
        <f t="shared" si="1"/>
        <v>200</v>
      </c>
      <c r="H115" s="124" t="str">
        <f>IF(Tabela2[[#This Row],[QTDE VENDIDA]]*Tabela2[[#This Row],[VALOR UNITÁRIO]]&gt;500,"Meta atingida","Meta não atingida")</f>
        <v>Meta não atingida</v>
      </c>
      <c r="M115" s="117">
        <v>7595263</v>
      </c>
      <c r="N115" s="95" t="s">
        <v>53</v>
      </c>
      <c r="O115" s="95" t="s">
        <v>61</v>
      </c>
      <c r="P115" s="118">
        <v>250</v>
      </c>
    </row>
    <row r="116" spans="1:16" x14ac:dyDescent="0.25">
      <c r="A116" s="110">
        <v>41791</v>
      </c>
      <c r="B116" s="95">
        <v>6258446</v>
      </c>
      <c r="C116" s="95">
        <v>10</v>
      </c>
      <c r="D116" s="95" t="str">
        <f>VLOOKUP(Tabela2[[#This Row],[CÓDIGO]],Tabela3[[CÓDIGO]:[DESCRIÇÃO]],2,0)</f>
        <v>Supra Brancoi</v>
      </c>
      <c r="E116" s="95" t="str">
        <f>VLOOKUP(Tabela2[[#This Row],[CÓDIGO]],Tabela3[[CÓDIGO]:[DEPARTAMENTO]],3,0)</f>
        <v>Tablets</v>
      </c>
      <c r="F116" s="97">
        <f>VLOOKUP(Tabela2[[#This Row],[CÓDIGO]],Tabela3[],4,0)</f>
        <v>358</v>
      </c>
      <c r="G116" s="126">
        <f t="shared" si="1"/>
        <v>3580</v>
      </c>
      <c r="H116" s="124" t="str">
        <f>IF(Tabela2[[#This Row],[QTDE VENDIDA]]*Tabela2[[#This Row],[VALOR UNITÁRIO]]&gt;500,"Meta atingida","Meta não atingida")</f>
        <v>Meta atingida</v>
      </c>
      <c r="M116" s="117">
        <v>1449529</v>
      </c>
      <c r="N116" s="95" t="s">
        <v>62</v>
      </c>
      <c r="O116" s="95" t="s">
        <v>63</v>
      </c>
      <c r="P116" s="118">
        <v>259</v>
      </c>
    </row>
    <row r="117" spans="1:16" x14ac:dyDescent="0.25">
      <c r="A117" s="111">
        <v>41791</v>
      </c>
      <c r="B117" s="112">
        <v>7211231</v>
      </c>
      <c r="C117" s="112">
        <v>26</v>
      </c>
      <c r="D117" s="112" t="str">
        <f>VLOOKUP(Tabela2[[#This Row],[CÓDIGO]],Tabela3[[CÓDIGO]:[DESCRIÇÃO]],2,0)</f>
        <v>Teclado Gamer - Tc167</v>
      </c>
      <c r="E117" s="112" t="str">
        <f>VLOOKUP(Tabela2[[#This Row],[CÓDIGO]],Tabela3[[CÓDIGO]:[DEPARTAMENTO]],3,0)</f>
        <v>Informática</v>
      </c>
      <c r="F117" s="113">
        <f>VLOOKUP(Tabela2[[#This Row],[CÓDIGO]],Tabela3[],4,0)</f>
        <v>40</v>
      </c>
      <c r="G117" s="127">
        <f t="shared" si="1"/>
        <v>1040</v>
      </c>
      <c r="H117" s="125" t="str">
        <f>IF(Tabela2[[#This Row],[QTDE VENDIDA]]*Tabela2[[#This Row],[VALOR UNITÁRIO]]&gt;500,"Meta atingida","Meta não atingida")</f>
        <v>Meta atingida</v>
      </c>
      <c r="M117" s="122">
        <v>7211231</v>
      </c>
      <c r="N117" s="112" t="s">
        <v>54</v>
      </c>
      <c r="O117" s="112" t="s">
        <v>57</v>
      </c>
      <c r="P117" s="123">
        <v>40</v>
      </c>
    </row>
    <row r="123" spans="1:16" x14ac:dyDescent="0.25">
      <c r="A123" s="128" t="s">
        <v>149</v>
      </c>
      <c r="B123" t="s">
        <v>148</v>
      </c>
    </row>
    <row r="124" spans="1:16" x14ac:dyDescent="0.25">
      <c r="A124" s="133" t="s">
        <v>56</v>
      </c>
      <c r="B124" s="131">
        <v>55</v>
      </c>
    </row>
    <row r="125" spans="1:16" x14ac:dyDescent="0.25">
      <c r="A125" s="133" t="s">
        <v>57</v>
      </c>
      <c r="B125" s="131">
        <v>42</v>
      </c>
    </row>
    <row r="126" spans="1:16" x14ac:dyDescent="0.25">
      <c r="A126" s="133" t="s">
        <v>58</v>
      </c>
      <c r="B126" s="131">
        <v>10</v>
      </c>
    </row>
    <row r="127" spans="1:16" x14ac:dyDescent="0.25">
      <c r="A127" s="133" t="s">
        <v>60</v>
      </c>
      <c r="B127" s="131">
        <v>10</v>
      </c>
    </row>
    <row r="128" spans="1:16" x14ac:dyDescent="0.25">
      <c r="A128" s="133" t="s">
        <v>55</v>
      </c>
      <c r="B128" s="131">
        <v>7</v>
      </c>
    </row>
    <row r="129" spans="1:2" x14ac:dyDescent="0.25">
      <c r="A129" s="133" t="s">
        <v>63</v>
      </c>
      <c r="B129" s="131">
        <v>7</v>
      </c>
    </row>
    <row r="130" spans="1:2" x14ac:dyDescent="0.25">
      <c r="A130" s="133" t="s">
        <v>59</v>
      </c>
      <c r="B130" s="131">
        <v>6</v>
      </c>
    </row>
    <row r="131" spans="1:2" x14ac:dyDescent="0.25">
      <c r="A131" s="133" t="s">
        <v>61</v>
      </c>
      <c r="B131" s="131">
        <v>5</v>
      </c>
    </row>
    <row r="132" spans="1:2" x14ac:dyDescent="0.25">
      <c r="A132" s="129" t="s">
        <v>147</v>
      </c>
      <c r="B132" s="130">
        <v>142</v>
      </c>
    </row>
    <row r="144" spans="1:2" ht="15.75" thickBot="1" x14ac:dyDescent="0.3"/>
    <row r="145" spans="1:4" ht="15.75" thickBot="1" x14ac:dyDescent="0.3">
      <c r="A145" s="140" t="s">
        <v>149</v>
      </c>
      <c r="B145" s="141" t="s">
        <v>91</v>
      </c>
      <c r="C145" s="137" t="s">
        <v>150</v>
      </c>
      <c r="D145" s="138" t="s">
        <v>151</v>
      </c>
    </row>
    <row r="146" spans="1:4" x14ac:dyDescent="0.25">
      <c r="A146" s="133" t="s">
        <v>56</v>
      </c>
      <c r="B146" s="131">
        <v>55</v>
      </c>
      <c r="C146" s="132">
        <v>0.38732394366197181</v>
      </c>
      <c r="D146" s="131">
        <v>22.6</v>
      </c>
    </row>
    <row r="147" spans="1:4" x14ac:dyDescent="0.25">
      <c r="A147" s="133" t="s">
        <v>57</v>
      </c>
      <c r="B147" s="131">
        <v>42</v>
      </c>
      <c r="C147" s="132">
        <v>0.29577464788732394</v>
      </c>
      <c r="D147" s="131">
        <v>59.671999999999997</v>
      </c>
    </row>
    <row r="148" spans="1:4" x14ac:dyDescent="0.25">
      <c r="A148" s="133" t="s">
        <v>58</v>
      </c>
      <c r="B148" s="131">
        <v>10</v>
      </c>
      <c r="C148" s="132">
        <v>7.0422535211267609E-2</v>
      </c>
      <c r="D148" s="131">
        <v>8</v>
      </c>
    </row>
    <row r="149" spans="1:4" ht="15.75" thickBot="1" x14ac:dyDescent="0.3">
      <c r="A149" s="133" t="s">
        <v>60</v>
      </c>
      <c r="B149" s="131">
        <v>10</v>
      </c>
      <c r="C149" s="132">
        <v>7.0422535211267609E-2</v>
      </c>
      <c r="D149" s="131">
        <v>143.20000000000002</v>
      </c>
    </row>
    <row r="150" spans="1:4" ht="15.75" thickBot="1" x14ac:dyDescent="0.3">
      <c r="A150" s="133" t="s">
        <v>55</v>
      </c>
      <c r="B150" s="131">
        <v>7</v>
      </c>
      <c r="C150" s="132">
        <v>4.9295774647887321E-2</v>
      </c>
      <c r="D150" s="131">
        <v>1.4000000000000001</v>
      </c>
    </row>
    <row r="151" spans="1:4" x14ac:dyDescent="0.25">
      <c r="A151" s="133" t="s">
        <v>63</v>
      </c>
      <c r="B151" s="131">
        <v>7</v>
      </c>
      <c r="C151" s="132">
        <v>4.9295774647887321E-2</v>
      </c>
      <c r="D151" s="131">
        <v>72.52</v>
      </c>
    </row>
    <row r="152" spans="1:4" x14ac:dyDescent="0.25">
      <c r="A152" s="133" t="s">
        <v>59</v>
      </c>
      <c r="B152" s="131">
        <v>6</v>
      </c>
      <c r="C152" s="132">
        <v>4.2253521126760563E-2</v>
      </c>
      <c r="D152" s="131">
        <v>6</v>
      </c>
    </row>
    <row r="153" spans="1:4" ht="15.75" thickBot="1" x14ac:dyDescent="0.3">
      <c r="A153" s="133" t="s">
        <v>61</v>
      </c>
      <c r="B153" s="131">
        <v>5</v>
      </c>
      <c r="C153" s="132">
        <v>3.5211267605633804E-2</v>
      </c>
      <c r="D153" s="131">
        <v>50</v>
      </c>
    </row>
    <row r="154" spans="1:4" ht="15.75" thickBot="1" x14ac:dyDescent="0.3">
      <c r="A154" s="139" t="s">
        <v>147</v>
      </c>
      <c r="B154" s="134">
        <v>142</v>
      </c>
      <c r="C154" s="135">
        <v>1</v>
      </c>
      <c r="D154" s="136">
        <v>363.392</v>
      </c>
    </row>
  </sheetData>
  <mergeCells count="22">
    <mergeCell ref="A8:J10"/>
    <mergeCell ref="A104:H104"/>
    <mergeCell ref="A12:J13"/>
    <mergeCell ref="A23:J24"/>
    <mergeCell ref="A36:J36"/>
    <mergeCell ref="A33:J34"/>
    <mergeCell ref="A39:J40"/>
    <mergeCell ref="A85:J86"/>
    <mergeCell ref="A15:K16"/>
    <mergeCell ref="A94:K96"/>
    <mergeCell ref="A19:J20"/>
    <mergeCell ref="M104:P104"/>
    <mergeCell ref="A27:J27"/>
    <mergeCell ref="A30:J30"/>
    <mergeCell ref="A49:J50"/>
    <mergeCell ref="A43:J44"/>
    <mergeCell ref="A89:K90"/>
    <mergeCell ref="A99:K100"/>
    <mergeCell ref="A53:J54"/>
    <mergeCell ref="E66:G66"/>
    <mergeCell ref="A74:J75"/>
    <mergeCell ref="D76:G76"/>
  </mergeCells>
  <conditionalFormatting sqref="G106:G117">
    <cfRule type="cellIs" dxfId="47" priority="1" operator="lessThan">
      <formula>500</formula>
    </cfRule>
    <cfRule type="cellIs" dxfId="46" priority="2" operator="greaterThanOrEqual">
      <formula>500</formula>
    </cfRule>
  </conditionalFormatting>
  <dataValidations count="3">
    <dataValidation type="list" allowBlank="1" showInputMessage="1" showErrorMessage="1" sqref="L8 L12 L19 L23 L27 L43 L15 L49 L39 L30 L36 L33 L85 L88:L89 L98:L99 L94 L56 L68 L79" xr:uid="{00000000-0002-0000-0500-000000000000}">
      <formula1>"1"</formula1>
    </dataValidation>
    <dataValidation type="list" allowBlank="1" showInputMessage="1" showErrorMessage="1" sqref="C46" xr:uid="{503808CD-4F60-42D9-98DE-0EAAA675E710}">
      <formula1>$A$124:$A$131</formula1>
    </dataValidation>
    <dataValidation type="list" allowBlank="1" showInputMessage="1" showErrorMessage="1" sqref="Q77" xr:uid="{C9869295-991D-45F5-B17B-E40515DA8233}">
      <formula1>$D$77:$G$77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6" name="Spinner 2">
              <controlPr defaultSize="0" autoPict="0">
                <anchor moveWithCells="1" sizeWithCells="1">
                  <from>
                    <xdr:col>1</xdr:col>
                    <xdr:colOff>19050</xdr:colOff>
                    <xdr:row>77</xdr:row>
                    <xdr:rowOff>9525</xdr:rowOff>
                  </from>
                  <to>
                    <xdr:col>1</xdr:col>
                    <xdr:colOff>200025</xdr:colOff>
                    <xdr:row>77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7" name="Spinner 6">
              <controlPr defaultSize="0" autoPict="0">
                <anchor moveWithCells="1" sizeWithCells="1">
                  <from>
                    <xdr:col>1</xdr:col>
                    <xdr:colOff>19050</xdr:colOff>
                    <xdr:row>79</xdr:row>
                    <xdr:rowOff>180975</xdr:rowOff>
                  </from>
                  <to>
                    <xdr:col>1</xdr:col>
                    <xdr:colOff>190500</xdr:colOff>
                    <xdr:row>80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" r:id="rId8" name="Button 9">
              <controlPr defaultSize="0" print="0" autoFill="0" autoPict="0" macro="[0]!salvar">
                <anchor moveWithCells="1" sizeWithCells="1">
                  <from>
                    <xdr:col>0</xdr:col>
                    <xdr:colOff>114300</xdr:colOff>
                    <xdr:row>90</xdr:row>
                    <xdr:rowOff>9525</xdr:rowOff>
                  </from>
                  <to>
                    <xdr:col>0</xdr:col>
                    <xdr:colOff>952500</xdr:colOff>
                    <xdr:row>90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tableParts count="2">
    <tablePart r:id="rId9"/>
    <tablePart r:id="rId10"/>
  </tableParts>
  <extLst>
    <ext xmlns:x14="http://schemas.microsoft.com/office/spreadsheetml/2009/9/main" uri="{A8765BA9-456A-4dab-B4F3-ACF838C121DE}">
      <x14:slicerList>
        <x14:slicer r:id="rId11"/>
      </x14:slicerList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7">
    <tabColor rgb="FFFFFF00"/>
  </sheetPr>
  <dimension ref="B2:T15"/>
  <sheetViews>
    <sheetView showGridLines="0" zoomScaleNormal="100" workbookViewId="0">
      <selection activeCell="I13" sqref="I13"/>
    </sheetView>
  </sheetViews>
  <sheetFormatPr defaultRowHeight="15" x14ac:dyDescent="0.25"/>
  <cols>
    <col min="1" max="1" width="3" customWidth="1"/>
    <col min="2" max="2" width="20.42578125" customWidth="1"/>
    <col min="3" max="3" width="24.28515625" customWidth="1"/>
    <col min="4" max="4" width="13.140625" customWidth="1"/>
    <col min="5" max="20" width="9.42578125" customWidth="1"/>
  </cols>
  <sheetData>
    <row r="2" spans="2:20" ht="15.75" x14ac:dyDescent="0.25">
      <c r="E2" s="188" t="s">
        <v>96</v>
      </c>
      <c r="F2" s="188"/>
      <c r="G2" s="188"/>
      <c r="H2" s="188"/>
      <c r="I2" s="188"/>
      <c r="J2" s="188"/>
      <c r="K2" s="188"/>
      <c r="L2" s="188"/>
      <c r="M2" s="188"/>
      <c r="N2" s="188"/>
      <c r="O2" s="188"/>
      <c r="P2" s="188"/>
      <c r="Q2" s="188"/>
      <c r="R2" s="188"/>
      <c r="S2" s="188"/>
      <c r="T2" s="188"/>
    </row>
    <row r="3" spans="2:20" ht="30" customHeight="1" x14ac:dyDescent="0.25">
      <c r="B3" s="186" t="s">
        <v>10</v>
      </c>
      <c r="C3" s="186" t="s">
        <v>11</v>
      </c>
      <c r="D3" s="186" t="s">
        <v>68</v>
      </c>
      <c r="E3" s="189" t="s">
        <v>85</v>
      </c>
      <c r="F3" s="190"/>
      <c r="G3" s="191"/>
      <c r="H3" s="189" t="s">
        <v>86</v>
      </c>
      <c r="I3" s="190"/>
      <c r="J3" s="191"/>
      <c r="K3" s="189" t="s">
        <v>87</v>
      </c>
      <c r="L3" s="190"/>
      <c r="M3" s="191"/>
      <c r="N3" s="189" t="s">
        <v>88</v>
      </c>
      <c r="O3" s="190"/>
      <c r="P3" s="191"/>
      <c r="Q3" s="189" t="s">
        <v>115</v>
      </c>
      <c r="R3" s="190"/>
      <c r="S3" s="191"/>
      <c r="T3" s="192" t="s">
        <v>89</v>
      </c>
    </row>
    <row r="4" spans="2:20" x14ac:dyDescent="0.25">
      <c r="B4" s="187"/>
      <c r="C4" s="187"/>
      <c r="D4" s="187"/>
      <c r="E4" s="60" t="s">
        <v>97</v>
      </c>
      <c r="F4" s="61" t="s">
        <v>69</v>
      </c>
      <c r="G4" s="62" t="s">
        <v>98</v>
      </c>
      <c r="H4" s="60" t="s">
        <v>97</v>
      </c>
      <c r="I4" s="61" t="s">
        <v>69</v>
      </c>
      <c r="J4" s="62" t="s">
        <v>98</v>
      </c>
      <c r="K4" s="60" t="s">
        <v>97</v>
      </c>
      <c r="L4" s="61" t="s">
        <v>69</v>
      </c>
      <c r="M4" s="62" t="s">
        <v>98</v>
      </c>
      <c r="N4" s="60" t="s">
        <v>97</v>
      </c>
      <c r="O4" s="61" t="s">
        <v>69</v>
      </c>
      <c r="P4" s="62" t="s">
        <v>98</v>
      </c>
      <c r="Q4" s="60" t="s">
        <v>97</v>
      </c>
      <c r="R4" s="61" t="s">
        <v>69</v>
      </c>
      <c r="S4" s="62" t="s">
        <v>98</v>
      </c>
      <c r="T4" s="193"/>
    </row>
    <row r="5" spans="2:20" ht="15.75" x14ac:dyDescent="0.25">
      <c r="B5" s="66" t="str">
        <f>NOME</f>
        <v>Caio lima</v>
      </c>
      <c r="C5" s="66">
        <f>EMAIL</f>
        <v>0</v>
      </c>
      <c r="D5" s="67">
        <f>DATA_TESTE</f>
        <v>44268</v>
      </c>
      <c r="E5" s="64">
        <v>6</v>
      </c>
      <c r="F5" s="64">
        <f>SUM(FORMATAÇÃO!M:M)</f>
        <v>0</v>
      </c>
      <c r="G5" s="63">
        <f>F5/E5</f>
        <v>0</v>
      </c>
      <c r="H5" s="64">
        <v>5</v>
      </c>
      <c r="I5" s="64">
        <f>SUM('FÓRMULAS BÁSICAS'!K:K)</f>
        <v>0</v>
      </c>
      <c r="J5" s="63">
        <f>I5/H5</f>
        <v>0</v>
      </c>
      <c r="K5" s="64">
        <v>2</v>
      </c>
      <c r="L5" s="64">
        <f>SUM(PORCENTAGEM!K:K)</f>
        <v>0</v>
      </c>
      <c r="M5" s="63">
        <f>L5/K5</f>
        <v>0</v>
      </c>
      <c r="N5" s="64">
        <v>15</v>
      </c>
      <c r="O5" s="64">
        <f>SUM('ANÁLISE DE VENDAS'!L8:L79)</f>
        <v>0</v>
      </c>
      <c r="P5" s="63">
        <f>O5/N5</f>
        <v>0</v>
      </c>
      <c r="Q5" s="64">
        <v>4</v>
      </c>
      <c r="R5" s="64">
        <f>SUM('ANÁLISE DE VENDAS'!L85:L99)</f>
        <v>0</v>
      </c>
      <c r="S5" s="63">
        <f>R5/Q5</f>
        <v>0</v>
      </c>
      <c r="T5" s="65">
        <f>SUM(F5,I5,L5,O5,R5)/SUM(E5,H5,K5,N5,Q5)</f>
        <v>0</v>
      </c>
    </row>
    <row r="14" spans="2:20" x14ac:dyDescent="0.25">
      <c r="C14" s="80"/>
    </row>
    <row r="15" spans="2:20" x14ac:dyDescent="0.25">
      <c r="C15" s="80"/>
    </row>
  </sheetData>
  <mergeCells count="10">
    <mergeCell ref="B3:B4"/>
    <mergeCell ref="C3:C4"/>
    <mergeCell ref="D3:D4"/>
    <mergeCell ref="E2:T2"/>
    <mergeCell ref="E3:G3"/>
    <mergeCell ref="H3:J3"/>
    <mergeCell ref="K3:M3"/>
    <mergeCell ref="N3:P3"/>
    <mergeCell ref="T3:T4"/>
    <mergeCell ref="Q3:S3"/>
  </mergeCells>
  <pageMargins left="0.511811024" right="0.511811024" top="0.78740157499999996" bottom="0.78740157499999996" header="0.31496062000000002" footer="0.31496062000000002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8"/>
  <dimension ref="J10"/>
  <sheetViews>
    <sheetView workbookViewId="0">
      <selection activeCell="J10" sqref="J10"/>
    </sheetView>
  </sheetViews>
  <sheetFormatPr defaultRowHeight="15" x14ac:dyDescent="0.25"/>
  <sheetData>
    <row r="10" spans="10:10" x14ac:dyDescent="0.25">
      <c r="J10" s="69" t="s">
        <v>99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9"/>
  <dimension ref="A3:J8"/>
  <sheetViews>
    <sheetView showGridLines="0" showRowColHeaders="0" workbookViewId="0"/>
  </sheetViews>
  <sheetFormatPr defaultRowHeight="15" x14ac:dyDescent="0.25"/>
  <sheetData>
    <row r="3" spans="1:10" ht="23.25" x14ac:dyDescent="0.35">
      <c r="B3" s="194" t="s">
        <v>101</v>
      </c>
      <c r="C3" s="194"/>
      <c r="D3" s="194"/>
      <c r="E3" s="194"/>
      <c r="F3" s="194"/>
      <c r="G3" s="194"/>
      <c r="H3" s="194"/>
      <c r="I3" s="194"/>
    </row>
    <row r="4" spans="1:10" ht="23.25" x14ac:dyDescent="0.35">
      <c r="B4" s="71"/>
      <c r="C4" s="71"/>
      <c r="D4" s="71"/>
      <c r="E4" s="71"/>
      <c r="F4" s="71"/>
      <c r="G4" s="71"/>
      <c r="H4" s="71"/>
      <c r="I4" s="71"/>
    </row>
    <row r="5" spans="1:10" ht="21" x14ac:dyDescent="0.35">
      <c r="A5" s="195" t="s">
        <v>102</v>
      </c>
      <c r="B5" s="195"/>
      <c r="C5" s="195"/>
      <c r="D5" s="195"/>
      <c r="E5" s="195"/>
      <c r="F5" s="195"/>
      <c r="G5" s="195"/>
      <c r="H5" s="195"/>
      <c r="I5" s="195"/>
      <c r="J5" s="195"/>
    </row>
    <row r="6" spans="1:10" ht="21" x14ac:dyDescent="0.35">
      <c r="A6" s="196" t="str">
        <f>LEFT(nome_arquivo(),LEN(nome_arquivo())-5)&amp; " - "&amp;NOME&amp;".xlsm"</f>
        <v>PROVA EXCEL MULTILASER - Caio lima.xlsm</v>
      </c>
      <c r="B6" s="196"/>
      <c r="C6" s="196"/>
      <c r="D6" s="196"/>
      <c r="E6" s="196"/>
      <c r="F6" s="196"/>
      <c r="G6" s="196"/>
      <c r="H6" s="196"/>
      <c r="I6" s="196"/>
      <c r="J6" s="196"/>
    </row>
    <row r="7" spans="1:10" ht="23.25" customHeight="1" x14ac:dyDescent="0.35">
      <c r="A7" s="197"/>
      <c r="B7" s="197"/>
      <c r="C7" s="197"/>
      <c r="D7" s="197"/>
      <c r="E7" s="197"/>
      <c r="F7" s="197"/>
      <c r="G7" s="197"/>
      <c r="H7" s="197"/>
      <c r="I7" s="197"/>
      <c r="J7" s="197"/>
    </row>
    <row r="8" spans="1:10" ht="21" x14ac:dyDescent="0.35">
      <c r="A8" s="198" t="s">
        <v>103</v>
      </c>
      <c r="B8" s="198"/>
      <c r="C8" s="198"/>
      <c r="D8" s="198"/>
      <c r="E8" s="198"/>
      <c r="F8" s="198"/>
      <c r="G8" s="198"/>
      <c r="H8" s="198"/>
      <c r="I8" s="198"/>
      <c r="J8" s="198"/>
    </row>
  </sheetData>
  <mergeCells count="5">
    <mergeCell ref="B3:I3"/>
    <mergeCell ref="A5:J5"/>
    <mergeCell ref="A6:J6"/>
    <mergeCell ref="A7:J7"/>
    <mergeCell ref="A8:J8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10"/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25</vt:i4>
      </vt:variant>
    </vt:vector>
  </HeadingPairs>
  <TitlesOfParts>
    <vt:vector size="35" baseType="lpstr">
      <vt:lpstr>INÍCIO</vt:lpstr>
      <vt:lpstr>INSTRUÇÕES</vt:lpstr>
      <vt:lpstr>FORMATAÇÃO</vt:lpstr>
      <vt:lpstr>FÓRMULAS BÁSICAS</vt:lpstr>
      <vt:lpstr>PORCENTAGEM</vt:lpstr>
      <vt:lpstr>ANÁLISE DE VENDAS</vt:lpstr>
      <vt:lpstr>NOTA FINAL</vt:lpstr>
      <vt:lpstr>configs</vt:lpstr>
      <vt:lpstr>FINALIZAÇÃO</vt:lpstr>
      <vt:lpstr>Plan1</vt:lpstr>
      <vt:lpstr>DATA_TESTE</vt:lpstr>
      <vt:lpstr>EMAIL</vt:lpstr>
      <vt:lpstr>NOME</vt:lpstr>
      <vt:lpstr>NOTA1_1</vt:lpstr>
      <vt:lpstr>NOTA1_2</vt:lpstr>
      <vt:lpstr>NOTA1_3</vt:lpstr>
      <vt:lpstr>NOTA1_4</vt:lpstr>
      <vt:lpstr>NOTA1_5</vt:lpstr>
      <vt:lpstr>NOTA1_6</vt:lpstr>
      <vt:lpstr>NOTA2_1</vt:lpstr>
      <vt:lpstr>NOTA2_2</vt:lpstr>
      <vt:lpstr>NOTA2_3</vt:lpstr>
      <vt:lpstr>NOTA2_4</vt:lpstr>
      <vt:lpstr>NOTA2_5</vt:lpstr>
      <vt:lpstr>NOTA3_1</vt:lpstr>
      <vt:lpstr>NOTA3_2</vt:lpstr>
      <vt:lpstr>NOTA4_1</vt:lpstr>
      <vt:lpstr>NOTA4_2</vt:lpstr>
      <vt:lpstr>NOTA4_3</vt:lpstr>
      <vt:lpstr>NOTA4_4</vt:lpstr>
      <vt:lpstr>NOTA4_5</vt:lpstr>
      <vt:lpstr>NOTA4_6</vt:lpstr>
      <vt:lpstr>NOTA4_7</vt:lpstr>
      <vt:lpstr>NOTA4_8</vt:lpstr>
      <vt:lpstr>NOTA4_9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Doutores do Excel</dc:creator>
  <cp:lastModifiedBy>Sousa, Caio</cp:lastModifiedBy>
  <cp:lastPrinted>2021-03-20T11:19:47Z</cp:lastPrinted>
  <dcterms:created xsi:type="dcterms:W3CDTF">2014-07-09T17:46:23Z</dcterms:created>
  <dcterms:modified xsi:type="dcterms:W3CDTF">2021-03-20T12:21:47Z</dcterms:modified>
</cp:coreProperties>
</file>