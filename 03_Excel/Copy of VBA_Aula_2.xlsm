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OUSA\Desktop\Estrutura\Treinamento\EXCEL\"/>
    </mc:Choice>
  </mc:AlternateContent>
  <xr:revisionPtr revIDLastSave="0" documentId="13_ncr:1_{ADE331FA-DB6E-41CB-B88E-5F56170D2D9F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Funcoes de Texto" sheetId="1" r:id="rId1"/>
    <sheet name="Left" sheetId="8" r:id="rId2"/>
    <sheet name="Right" sheetId="11" r:id="rId3"/>
    <sheet name="Mid" sheetId="10" r:id="rId4"/>
    <sheet name="Instr" sheetId="13" r:id="rId5"/>
    <sheet name="Exercicio" sheetId="14" r:id="rId6"/>
    <sheet name="Sheet1" sheetId="16" r:id="rId7"/>
    <sheet name="BaseUnica" sheetId="15" r:id="rId8"/>
    <sheet name="Sheet2" sheetId="17" r:id="rId9"/>
    <sheet name="Sheet3" sheetId="18" r:id="rId10"/>
  </sheets>
  <externalReferences>
    <externalReference r:id="rId11"/>
  </externalReferences>
  <definedNames>
    <definedName name="ListaSuspensa">[1]Geral!$A$2:$A$5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8" l="1"/>
  <c r="C11" i="18" s="1"/>
  <c r="F14" i="13" l="1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13" i="13"/>
</calcChain>
</file>

<file path=xl/sharedStrings.xml><?xml version="1.0" encoding="utf-8"?>
<sst xmlns="http://schemas.openxmlformats.org/spreadsheetml/2006/main" count="531" uniqueCount="231">
  <si>
    <t>VBA</t>
  </si>
  <si>
    <t>OBJETO DE ESTUDO</t>
  </si>
  <si>
    <t>PARA QUE SERVE</t>
  </si>
  <si>
    <t>MICROSOFT EXCEL | AULA 3</t>
  </si>
  <si>
    <t>Funções de texto</t>
  </si>
  <si>
    <t>FUNÇÃO</t>
  </si>
  <si>
    <t>LEFT</t>
  </si>
  <si>
    <t>RIGHT</t>
  </si>
  <si>
    <t>MID</t>
  </si>
  <si>
    <t>INSTR</t>
  </si>
  <si>
    <t>Extrair caracteres à esquerda da célula</t>
  </si>
  <si>
    <t>Extrair caracteres à direita da célula</t>
  </si>
  <si>
    <t>Extrair caracteres ao longo da célula</t>
  </si>
  <si>
    <t>Pesquisa a existência de um trecho de texto na célula</t>
  </si>
  <si>
    <t>EXEMPLO DE COMO USAR O COMANDO</t>
  </si>
  <si>
    <t>PRODUTO</t>
  </si>
  <si>
    <t>1001 - CONECTOR TRANSVERSAL</t>
  </si>
  <si>
    <t>ID PRODUTO</t>
  </si>
  <si>
    <t>RESULTADO</t>
  </si>
  <si>
    <t>EXERCÍCIOS PARA FIXAÇÃO</t>
  </si>
  <si>
    <t>1- EXTRAIR A CONTA CONTÁBIL</t>
  </si>
  <si>
    <t>1.1.1.1Caixa</t>
  </si>
  <si>
    <t>1.1.1.2Bancos conta movimento</t>
  </si>
  <si>
    <t>1.1.1.3Aplicações financeiras</t>
  </si>
  <si>
    <t>1.1.2.1 Duplicatas a receber</t>
  </si>
  <si>
    <t>1.1.2.2 Duplicatas descontadas (conta credora)</t>
  </si>
  <si>
    <t>1.1.2.3 Provisão para dividendos duvidosos (conta credora)</t>
  </si>
  <si>
    <t>1.1.3.1 Promissórias a receber</t>
  </si>
  <si>
    <t>1.1.3.2 Empréstimos a receber</t>
  </si>
  <si>
    <t>1.1.3.3 Dividendos a receber</t>
  </si>
  <si>
    <t>1.1.3.4 Adiantamento de salários</t>
  </si>
  <si>
    <t>1.1.3.5 ICMS a recuperar</t>
  </si>
  <si>
    <t>1.1.3.6 IRRF a recuperar</t>
  </si>
  <si>
    <t>1.1.4.1Mercadorias</t>
  </si>
  <si>
    <t>1.1.4.2Adiantamento a fornecedores</t>
  </si>
  <si>
    <t>1.1.4.3 Material de escritório</t>
  </si>
  <si>
    <t>1.1.4.4Provisão para redução a valor de mercado (conta credora)</t>
  </si>
  <si>
    <t>NÚMERO DA CONTA</t>
  </si>
  <si>
    <t>1- EXTRAIR A NOTA FISCAL</t>
  </si>
  <si>
    <t>NF 51253 DE 18-09-20</t>
  </si>
  <si>
    <t>NF 36678 DE 23-09-20</t>
  </si>
  <si>
    <t>NF 63003 DE 11-09-20</t>
  </si>
  <si>
    <t>NF 17669 DE 21-09-20</t>
  </si>
  <si>
    <t>NF 36507 DE 05-09-20</t>
  </si>
  <si>
    <t>NF 16388 DE 26-09-20</t>
  </si>
  <si>
    <t>NF 47638 DE 19-09-20</t>
  </si>
  <si>
    <t>NF 63635 DE 14-09-20</t>
  </si>
  <si>
    <t>NF 80829 DE 23-09-20</t>
  </si>
  <si>
    <t>NF 28055 DE 09-09-20</t>
  </si>
  <si>
    <t>NF 36740 DE 03-09-20</t>
  </si>
  <si>
    <t>NF 13896 DE 04-09-20</t>
  </si>
  <si>
    <t>NF 53688 DE 27-09-20</t>
  </si>
  <si>
    <t>NF 92740 DE 29-09-20</t>
  </si>
  <si>
    <t>NF 94551 DE 09-09-20</t>
  </si>
  <si>
    <t>NF 14214 DE 21-09-20</t>
  </si>
  <si>
    <t>NOTA FISCAL</t>
  </si>
  <si>
    <t>ETQUETA</t>
  </si>
  <si>
    <t>NÚMERO DO PROTOCOLO</t>
  </si>
  <si>
    <t>MID(RANGE("B7"),11,7)</t>
  </si>
  <si>
    <t>PROTOCOLO 1048576 DE 03/10/2020</t>
  </si>
  <si>
    <r>
      <rPr>
        <b/>
        <sz val="9"/>
        <color theme="5" tint="-0.249977111117893"/>
        <rFont val="Calibri"/>
        <family val="2"/>
      </rPr>
      <t>LEFT</t>
    </r>
    <r>
      <rPr>
        <b/>
        <sz val="9"/>
        <color theme="3"/>
        <rFont val="Calibri"/>
        <family val="2"/>
      </rPr>
      <t>(RANGE("B7"),</t>
    </r>
    <r>
      <rPr>
        <b/>
        <sz val="9"/>
        <color theme="5" tint="-0.249977111117893"/>
        <rFont val="Calibri"/>
        <family val="2"/>
      </rPr>
      <t>4</t>
    </r>
    <r>
      <rPr>
        <b/>
        <sz val="9"/>
        <color theme="3"/>
        <rFont val="Calibri"/>
        <family val="2"/>
      </rPr>
      <t>)</t>
    </r>
  </si>
  <si>
    <t>RIGHT(RANGE("B7"),10)</t>
  </si>
  <si>
    <t>DATA DA NOTA FISCAL</t>
  </si>
  <si>
    <t>3.4.1.8 -Previdência social</t>
  </si>
  <si>
    <t>3.4.1.9 -Assistência médica</t>
  </si>
  <si>
    <t>3.4.1.10 -Aluguel</t>
  </si>
  <si>
    <t>3.4.1.11 -Energia elétrica</t>
  </si>
  <si>
    <t>3.4.1.12 -Telefone</t>
  </si>
  <si>
    <t>3.4.1.13 -Água e esgoto</t>
  </si>
  <si>
    <t>3.4.1.14 -Consumo de material de escritório</t>
  </si>
  <si>
    <t>3.4.1.15 -Correio</t>
  </si>
  <si>
    <t>3.4.1.16 -Depreciação</t>
  </si>
  <si>
    <t>3.4.1.17 -Amortização</t>
  </si>
  <si>
    <t>3.4.1.18 -Seguros</t>
  </si>
  <si>
    <t>3.4.1.19 -Impostos e taxas federais</t>
  </si>
  <si>
    <t>3.4.1.20 -Impostos e taxas estaduais</t>
  </si>
  <si>
    <t>3.4.1.21 -Impostos e taxas municipais</t>
  </si>
  <si>
    <t>3.4.1.22 -Despesas com contingências</t>
  </si>
  <si>
    <t>3.4.1.23 -Jornais e periódicos</t>
  </si>
  <si>
    <t>EXISTE A PALAVRA "TAXA" ?</t>
  </si>
  <si>
    <t>PESQUISAR TEXTO NA CÉLULA</t>
  </si>
  <si>
    <t>E-MAIL</t>
  </si>
  <si>
    <t>tudobemfeito@dominio.com.br</t>
  </si>
  <si>
    <t>INSTR(1, RANGE("B7"), "@", VBTEXTCOMPARE)</t>
  </si>
  <si>
    <t>PROTOCOLO</t>
  </si>
  <si>
    <t>DATA</t>
  </si>
  <si>
    <t>2020-6700-2317</t>
  </si>
  <si>
    <t>2020-7188-6643</t>
  </si>
  <si>
    <t>2020-4691-4645</t>
  </si>
  <si>
    <t>2020-3848-5678</t>
  </si>
  <si>
    <t>2020-5885-1926</t>
  </si>
  <si>
    <t>2020-7492-9654</t>
  </si>
  <si>
    <t>2020-3201-2975</t>
  </si>
  <si>
    <t>2020-9462-7126</t>
  </si>
  <si>
    <t>2020-9821-6654</t>
  </si>
  <si>
    <t>2020-6207-3829</t>
  </si>
  <si>
    <t>2020-8065-1932</t>
  </si>
  <si>
    <t>2020-7106-1317</t>
  </si>
  <si>
    <t>2020-7747-7163</t>
  </si>
  <si>
    <t>2020-4119-5284</t>
  </si>
  <si>
    <t>2020-7305-7920</t>
  </si>
  <si>
    <t>2020-8975-1757</t>
  </si>
  <si>
    <t>2020-9650-7051</t>
  </si>
  <si>
    <t>2020-7988-2986</t>
  </si>
  <si>
    <t>2020-4294-8066</t>
  </si>
  <si>
    <t>2020-7146-1446</t>
  </si>
  <si>
    <t>2020-7851-9932</t>
  </si>
  <si>
    <t>2020-3896-6179</t>
  </si>
  <si>
    <t>2020-9988-8873</t>
  </si>
  <si>
    <t>2020-9944-7234</t>
  </si>
  <si>
    <t>2020-9258-4749</t>
  </si>
  <si>
    <t>2020-9922-4379</t>
  </si>
  <si>
    <t>2020-4628-2927</t>
  </si>
  <si>
    <t>2020-6984-3341</t>
  </si>
  <si>
    <t>2020-7747-7083</t>
  </si>
  <si>
    <t>2020-2274-9696</t>
  </si>
  <si>
    <t>2020-3164-9212</t>
  </si>
  <si>
    <t>2020-7624-8681</t>
  </si>
  <si>
    <t>2020-8151-4845</t>
  </si>
  <si>
    <t>2020-7184-2649</t>
  </si>
  <si>
    <t>2020-4559-2312</t>
  </si>
  <si>
    <t>2020-3901-1328</t>
  </si>
  <si>
    <t>2020-6505-1307</t>
  </si>
  <si>
    <t>2020-9304-2445</t>
  </si>
  <si>
    <t>2020-5305-9426</t>
  </si>
  <si>
    <t>2020-4006-8430</t>
  </si>
  <si>
    <t>2020-2407-4891</t>
  </si>
  <si>
    <t>2020-8098-6579</t>
  </si>
  <si>
    <t>2020-7733-1603</t>
  </si>
  <si>
    <t>2020-1957-3918</t>
  </si>
  <si>
    <t>2020-1995-7119</t>
  </si>
  <si>
    <t>2020-3030-7297</t>
  </si>
  <si>
    <t>2020-5219-9523</t>
  </si>
  <si>
    <t>2020-3088-8497</t>
  </si>
  <si>
    <t>2020-6465-6372</t>
  </si>
  <si>
    <t>2020-3674-6203</t>
  </si>
  <si>
    <t>TIPO</t>
  </si>
  <si>
    <t>EMERGÊNCIA</t>
  </si>
  <si>
    <t>ATUALIZAÇÕES</t>
  </si>
  <si>
    <t>CANCELAMENTOS</t>
  </si>
  <si>
    <t>COMPRA</t>
  </si>
  <si>
    <t>RECLAMAÇÕES</t>
  </si>
  <si>
    <t>SUGESTÕES</t>
  </si>
  <si>
    <t>NEGOCIAÇÃO</t>
  </si>
  <si>
    <t>DOCUMENTAÇÃO</t>
  </si>
  <si>
    <t>SUBSTITUIÇÕES</t>
  </si>
  <si>
    <t>TABELA DE TIPOS</t>
  </si>
  <si>
    <t>DataImportacao</t>
  </si>
  <si>
    <t>CentroCusto</t>
  </si>
  <si>
    <t>Patrocinadora</t>
  </si>
  <si>
    <t>MesReferencia</t>
  </si>
  <si>
    <t>ValorFolha</t>
  </si>
  <si>
    <t>QtdeEmpregados</t>
  </si>
  <si>
    <t>DataPagFolha</t>
  </si>
  <si>
    <t>DecimoTerceiro</t>
  </si>
  <si>
    <t>Historico</t>
  </si>
  <si>
    <t>ValorHistorico</t>
  </si>
  <si>
    <t>procurar()</t>
  </si>
  <si>
    <t>ex.texto()</t>
  </si>
  <si>
    <t>Find</t>
  </si>
  <si>
    <t xml:space="preserve">Localizar informações na planilha </t>
  </si>
  <si>
    <t>Criação de links para outras pastas</t>
  </si>
  <si>
    <t>1.1.1.1</t>
  </si>
  <si>
    <t>1.1.1.2</t>
  </si>
  <si>
    <t>1.1.1.3</t>
  </si>
  <si>
    <t>1.1.2.1</t>
  </si>
  <si>
    <t>1.1.2.2</t>
  </si>
  <si>
    <t>1.1.2.3</t>
  </si>
  <si>
    <t>1.1.3.1</t>
  </si>
  <si>
    <t>1.1.3.2</t>
  </si>
  <si>
    <t>1.1.3.3</t>
  </si>
  <si>
    <t>1.1.3.4</t>
  </si>
  <si>
    <t>1.1.3.5</t>
  </si>
  <si>
    <t>1.1.3.6</t>
  </si>
  <si>
    <t>1.1.4.1</t>
  </si>
  <si>
    <t>1.1.4.2</t>
  </si>
  <si>
    <t>1.1.4.3</t>
  </si>
  <si>
    <t>1.1.4.4</t>
  </si>
  <si>
    <t>Não</t>
  </si>
  <si>
    <t>Sim</t>
  </si>
  <si>
    <t>SUB</t>
  </si>
  <si>
    <t>DIM</t>
  </si>
  <si>
    <t>VLOOKUP</t>
  </si>
  <si>
    <t>?ABS?</t>
  </si>
  <si>
    <t xml:space="preserve">Trabalhando com maiúsculas e Minúsculas </t>
  </si>
  <si>
    <t>Data</t>
  </si>
  <si>
    <t>DIA</t>
  </si>
  <si>
    <t>SÁB</t>
  </si>
  <si>
    <t>SEG</t>
  </si>
  <si>
    <t>DOM</t>
  </si>
  <si>
    <t>TER</t>
  </si>
  <si>
    <t>SEX</t>
  </si>
  <si>
    <t>QUA</t>
  </si>
  <si>
    <t>QUI</t>
  </si>
  <si>
    <t>Colaborador</t>
  </si>
  <si>
    <t xml:space="preserve">Nome do Colaborador </t>
  </si>
  <si>
    <t xml:space="preserve">Dia da Semana </t>
  </si>
  <si>
    <t>Para corrigir o problema com o formato usamos "Option Compare Text"</t>
  </si>
  <si>
    <t>Pedro</t>
  </si>
  <si>
    <t>-</t>
  </si>
  <si>
    <t>Marisa</t>
  </si>
  <si>
    <t>João</t>
  </si>
  <si>
    <t>Chris</t>
  </si>
  <si>
    <t>Quinta - feira</t>
  </si>
  <si>
    <t>Mano Brown</t>
  </si>
  <si>
    <t>EMPRESA INVENTADA LTDA</t>
  </si>
  <si>
    <t>Contribuição Normal da Patrocinadora</t>
  </si>
  <si>
    <t>Contribuição Especial de Patrocinadora</t>
  </si>
  <si>
    <t>Contribuição Básica Participante</t>
  </si>
  <si>
    <t>Contribuição Adional Participante</t>
  </si>
  <si>
    <t>Contribuição Voluntária Participante</t>
  </si>
  <si>
    <t>Benefício Mínimo e Provisão Matemática à Constituir (0,11% sobre o campo 3)</t>
  </si>
  <si>
    <t>O valor das contribuições informadas nos campos 11 e 21, serão deduzidas Fundo de Reversão até o seu exaurimento.</t>
  </si>
  <si>
    <t>Despesa Administrativa (0,58% sobre o campo 3)</t>
  </si>
  <si>
    <t>FOR..NEXT</t>
  </si>
  <si>
    <t>NOME</t>
  </si>
  <si>
    <t>Nome</t>
  </si>
  <si>
    <t>Voltas</t>
  </si>
  <si>
    <t xml:space="preserve">Caio </t>
  </si>
  <si>
    <t>FINANCEIRO</t>
  </si>
  <si>
    <t>Valor</t>
  </si>
  <si>
    <t xml:space="preserve">Meses </t>
  </si>
  <si>
    <t>Taxa</t>
  </si>
  <si>
    <t>Valor Futuro</t>
  </si>
  <si>
    <t>Valor da Parcela</t>
  </si>
  <si>
    <t xml:space="preserve">Características da Solicitação </t>
  </si>
  <si>
    <t xml:space="preserve">Detalhamento do Financeiro </t>
  </si>
  <si>
    <t>Parcela</t>
  </si>
  <si>
    <t>Valor Parcela</t>
  </si>
  <si>
    <t>Dt Pagto</t>
  </si>
  <si>
    <t>Primeiro Pagto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</si>
</sst>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8" formatCode="&quot;R$&quot;\ #,##0.00;[Red]\-&quot;R$&quot;\ #,##0.00"/>
    <numFmt numFmtId="165" formatCode="@* \:"/>
    <numFmt numFmtId="167" formatCode="@*.\:"/>
    <numFmt numFmtId="168" formatCode="&quot;R$&quot;\ #,##0.00"/>
  </numFmts>
  <fonts count="23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libri"/>
      <family val="2"/>
    </font>
    <font>
      <b/>
      <sz val="9"/>
      <color theme="3"/>
      <name val="Calibri"/>
      <family val="2"/>
    </font>
    <font>
      <b/>
      <sz val="18"/>
      <color theme="5" tint="-0.249977111117893"/>
      <name val="Calibri"/>
      <family val="2"/>
    </font>
    <font>
      <b/>
      <sz val="10"/>
      <color theme="5" tint="-0.249977111117893"/>
      <name val="Calibri"/>
      <family val="2"/>
    </font>
    <font>
      <b/>
      <sz val="9"/>
      <color theme="5" tint="-0.249977111117893"/>
      <name val="Calibri"/>
      <family val="2"/>
    </font>
    <font>
      <b/>
      <sz val="11"/>
      <color theme="5" tint="-0.249977111117893"/>
      <name val="Calibri"/>
      <family val="2"/>
    </font>
    <font>
      <sz val="10"/>
      <color theme="1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color theme="0"/>
      <name val="Calibri"/>
      <family val="2"/>
    </font>
    <font>
      <b/>
      <sz val="10"/>
      <color theme="7" tint="-0.249977111117893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20"/>
      <color theme="0"/>
      <name val="Calibri"/>
      <family val="2"/>
    </font>
    <font>
      <sz val="20"/>
      <name val="Calibri"/>
      <family val="2"/>
    </font>
    <font>
      <sz val="12"/>
      <color theme="1"/>
      <name val="Arial"/>
      <family val="2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6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/>
    <xf numFmtId="0" fontId="3" fillId="0" borderId="0" xfId="0" applyFont="1" applyAlignment="1">
      <alignment horizontal="left"/>
    </xf>
    <xf numFmtId="0" fontId="8" fillId="0" borderId="0" xfId="0" applyFont="1"/>
    <xf numFmtId="14" fontId="3" fillId="0" borderId="0" xfId="0" applyNumberFormat="1" applyFont="1" applyAlignment="1">
      <alignment horizontal="left"/>
    </xf>
    <xf numFmtId="0" fontId="9" fillId="0" borderId="0" xfId="0" applyFont="1" applyAlignment="1">
      <alignment horizontal="justify"/>
    </xf>
    <xf numFmtId="0" fontId="3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1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8" fillId="0" borderId="0" xfId="0" applyNumberFormat="1" applyFont="1" applyAlignment="1">
      <alignment horizontal="center"/>
    </xf>
    <xf numFmtId="0" fontId="8" fillId="0" borderId="1" xfId="0" applyFont="1" applyBorder="1"/>
    <xf numFmtId="0" fontId="12" fillId="0" borderId="1" xfId="0" applyFont="1" applyBorder="1"/>
    <xf numFmtId="0" fontId="10" fillId="0" borderId="1" xfId="0" applyFont="1" applyBorder="1"/>
    <xf numFmtId="0" fontId="13" fillId="3" borderId="2" xfId="1" applyFont="1" applyFill="1" applyBorder="1" applyAlignment="1">
      <alignment horizontal="center" vertical="center"/>
    </xf>
    <xf numFmtId="0" fontId="14" fillId="0" borderId="0" xfId="1" applyFont="1" applyAlignment="1">
      <alignment vertical="center"/>
    </xf>
    <xf numFmtId="14" fontId="14" fillId="0" borderId="0" xfId="1" applyNumberFormat="1" applyFont="1"/>
    <xf numFmtId="0" fontId="14" fillId="0" borderId="0" xfId="1" applyFont="1"/>
    <xf numFmtId="7" fontId="14" fillId="0" borderId="0" xfId="1" applyNumberFormat="1" applyFont="1"/>
    <xf numFmtId="0" fontId="0" fillId="0" borderId="3" xfId="0" applyBorder="1"/>
    <xf numFmtId="0" fontId="0" fillId="0" borderId="0" xfId="0" applyBorder="1"/>
    <xf numFmtId="14" fontId="0" fillId="0" borderId="0" xfId="0" applyNumberFormat="1"/>
    <xf numFmtId="0" fontId="9" fillId="4" borderId="0" xfId="0" applyFont="1" applyFill="1" applyAlignment="1">
      <alignment horizontal="justify"/>
    </xf>
    <xf numFmtId="0" fontId="0" fillId="4" borderId="0" xfId="0" applyFill="1"/>
    <xf numFmtId="0" fontId="0" fillId="0" borderId="0" xfId="0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9" fontId="14" fillId="0" borderId="0" xfId="1" applyNumberFormat="1" applyFont="1"/>
    <xf numFmtId="0" fontId="0" fillId="6" borderId="0" xfId="0" applyFill="1"/>
    <xf numFmtId="0" fontId="17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5" fontId="0" fillId="0" borderId="0" xfId="0" applyNumberFormat="1"/>
    <xf numFmtId="0" fontId="0" fillId="0" borderId="0" xfId="0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1" fillId="0" borderId="0" xfId="2" applyFont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168" fontId="21" fillId="7" borderId="0" xfId="0" applyNumberFormat="1" applyFont="1" applyFill="1" applyAlignment="1">
      <alignment horizontal="center" vertical="center"/>
    </xf>
    <xf numFmtId="168" fontId="21" fillId="0" borderId="0" xfId="0" applyNumberFormat="1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168" fontId="22" fillId="7" borderId="0" xfId="0" applyNumberFormat="1" applyFont="1" applyFill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8" fontId="2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36D962A4-4C9D-4B88-919C-F1DCEF64CEFF}"/>
    <cellStyle name="Percent" xfId="2" builtinId="5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pin" dx="22" fmlaLink="$C$8" max="24" min="1" page="10" val="24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3</xdr:row>
          <xdr:rowOff>38100</xdr:rowOff>
        </xdr:from>
        <xdr:to>
          <xdr:col>11</xdr:col>
          <xdr:colOff>676275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4</xdr:row>
          <xdr:rowOff>175260</xdr:rowOff>
        </xdr:from>
        <xdr:to>
          <xdr:col>11</xdr:col>
          <xdr:colOff>676275</xdr:colOff>
          <xdr:row>6</xdr:row>
          <xdr:rowOff>127635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7</xdr:row>
          <xdr:rowOff>36195</xdr:rowOff>
        </xdr:from>
        <xdr:to>
          <xdr:col>11</xdr:col>
          <xdr:colOff>676275</xdr:colOff>
          <xdr:row>8</xdr:row>
          <xdr:rowOff>179070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8</xdr:row>
          <xdr:rowOff>278130</xdr:rowOff>
        </xdr:from>
        <xdr:to>
          <xdr:col>11</xdr:col>
          <xdr:colOff>676275</xdr:colOff>
          <xdr:row>10</xdr:row>
          <xdr:rowOff>125730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11</xdr:row>
          <xdr:rowOff>34290</xdr:rowOff>
        </xdr:from>
        <xdr:to>
          <xdr:col>11</xdr:col>
          <xdr:colOff>676275</xdr:colOff>
          <xdr:row>12</xdr:row>
          <xdr:rowOff>177165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Exercício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13</xdr:row>
          <xdr:rowOff>85725</xdr:rowOff>
        </xdr:from>
        <xdr:to>
          <xdr:col>11</xdr:col>
          <xdr:colOff>676275</xdr:colOff>
          <xdr:row>15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 Unic.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161924</xdr:colOff>
      <xdr:row>1</xdr:row>
      <xdr:rowOff>85725</xdr:rowOff>
    </xdr:from>
    <xdr:to>
      <xdr:col>7</xdr:col>
      <xdr:colOff>533399</xdr:colOff>
      <xdr:row>5</xdr:row>
      <xdr:rowOff>66675</xdr:rowOff>
    </xdr:to>
    <xdr:sp macro="[0]!SepararNumeroConta" textlink="">
      <xdr:nvSpPr>
        <xdr:cNvPr id="2" name="Thought Bubble: Cloud 1">
          <a:extLst>
            <a:ext uri="{FF2B5EF4-FFF2-40B4-BE49-F238E27FC236}">
              <a16:creationId xmlns:a16="http://schemas.microsoft.com/office/drawing/2014/main" id="{0D506740-2F5E-4F83-B394-07EB214EC03E}"/>
            </a:ext>
          </a:extLst>
        </xdr:cNvPr>
        <xdr:cNvSpPr/>
      </xdr:nvSpPr>
      <xdr:spPr>
        <a:xfrm>
          <a:off x="6591299" y="276225"/>
          <a:ext cx="2200275" cy="742950"/>
        </a:xfrm>
        <a:prstGeom prst="cloud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Separar Número</a:t>
          </a:r>
          <a:r>
            <a:rPr lang="pt-BR" sz="1100" baseline="0"/>
            <a:t> da conta !</a:t>
          </a:r>
        </a:p>
        <a:p>
          <a:pPr algn="l"/>
          <a:endParaRPr lang="pt-BR" sz="1100" baseline="0"/>
        </a:p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180975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7</xdr:col>
          <xdr:colOff>0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Extrair.Texto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19050</xdr:rowOff>
        </xdr:from>
        <xdr:to>
          <xdr:col>6</xdr:col>
          <xdr:colOff>0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Resgatar "TAXA"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180975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Ex.1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28575</xdr:rowOff>
        </xdr:from>
        <xdr:to>
          <xdr:col>0</xdr:col>
          <xdr:colOff>1228725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28575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Repetir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7</xdr:row>
          <xdr:rowOff>28574</xdr:rowOff>
        </xdr:from>
        <xdr:to>
          <xdr:col>2</xdr:col>
          <xdr:colOff>247650</xdr:colOff>
          <xdr:row>7</xdr:row>
          <xdr:rowOff>314325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95251</xdr:rowOff>
        </xdr:from>
        <xdr:to>
          <xdr:col>6</xdr:col>
          <xdr:colOff>476250</xdr:colOff>
          <xdr:row>5</xdr:row>
          <xdr:rowOff>95251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Detalhar Parcelas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rrier/Flu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BaseUnica"/>
      <sheetName val="Geral"/>
    </sheetNames>
    <sheetDataSet>
      <sheetData sheetId="0"/>
      <sheetData sheetId="1"/>
      <sheetData sheetId="2">
        <row r="2">
          <cell r="A2" t="str">
            <v>IFM CARRIER</v>
          </cell>
        </row>
        <row r="3">
          <cell r="A3" t="str">
            <v>IFM FREIGHTWATCH</v>
          </cell>
        </row>
        <row r="4">
          <cell r="A4" t="str">
            <v>RATEIO ICATU CARRIER</v>
          </cell>
        </row>
        <row r="5">
          <cell r="A5" t="str">
            <v>RATEIO ICATU FREIGHTWATCH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L34"/>
  <sheetViews>
    <sheetView showGridLines="0" workbookViewId="0">
      <selection activeCell="S8" sqref="S8"/>
    </sheetView>
  </sheetViews>
  <sheetFormatPr defaultRowHeight="15" x14ac:dyDescent="0.25"/>
  <cols>
    <col min="2" max="2" width="15" customWidth="1"/>
    <col min="12" max="12" width="10.42578125" customWidth="1"/>
  </cols>
  <sheetData>
    <row r="2" spans="2:12" x14ac:dyDescent="0.25">
      <c r="K2" s="24"/>
      <c r="L2" t="s">
        <v>161</v>
      </c>
    </row>
    <row r="3" spans="2:12" x14ac:dyDescent="0.25">
      <c r="B3" s="2" t="s">
        <v>3</v>
      </c>
      <c r="K3" s="24"/>
    </row>
    <row r="4" spans="2:12" ht="23.25" x14ac:dyDescent="0.35">
      <c r="B4" s="1" t="s">
        <v>0</v>
      </c>
      <c r="K4" s="24"/>
      <c r="L4" s="25"/>
    </row>
    <row r="5" spans="2:12" x14ac:dyDescent="0.25">
      <c r="K5" s="24"/>
      <c r="L5" s="25"/>
    </row>
    <row r="6" spans="2:12" x14ac:dyDescent="0.25">
      <c r="K6" s="24"/>
      <c r="L6" s="25"/>
    </row>
    <row r="7" spans="2:12" x14ac:dyDescent="0.25">
      <c r="K7" s="24"/>
      <c r="L7" s="25"/>
    </row>
    <row r="8" spans="2:12" x14ac:dyDescent="0.25">
      <c r="B8" s="2" t="s">
        <v>1</v>
      </c>
      <c r="K8" s="24"/>
      <c r="L8" s="25"/>
    </row>
    <row r="9" spans="2:12" ht="23.25" x14ac:dyDescent="0.35">
      <c r="B9" s="3" t="s">
        <v>4</v>
      </c>
      <c r="K9" s="24"/>
      <c r="L9" s="25"/>
    </row>
    <row r="10" spans="2:12" x14ac:dyDescent="0.25">
      <c r="K10" s="24"/>
      <c r="L10" s="25"/>
    </row>
    <row r="11" spans="2:12" x14ac:dyDescent="0.25">
      <c r="B11" s="2" t="s">
        <v>5</v>
      </c>
      <c r="C11" s="2" t="s">
        <v>2</v>
      </c>
      <c r="K11" s="24"/>
      <c r="L11" s="25"/>
    </row>
    <row r="12" spans="2:12" x14ac:dyDescent="0.25">
      <c r="B12" s="4" t="s">
        <v>6</v>
      </c>
      <c r="C12" s="4" t="s">
        <v>10</v>
      </c>
      <c r="K12" s="24"/>
      <c r="L12" s="25"/>
    </row>
    <row r="13" spans="2:12" x14ac:dyDescent="0.25">
      <c r="B13" s="4" t="s">
        <v>7</v>
      </c>
      <c r="C13" s="4" t="s">
        <v>11</v>
      </c>
      <c r="K13" s="24"/>
      <c r="L13" s="25"/>
    </row>
    <row r="14" spans="2:12" x14ac:dyDescent="0.25">
      <c r="B14" s="4" t="s">
        <v>8</v>
      </c>
      <c r="C14" s="4" t="s">
        <v>12</v>
      </c>
      <c r="F14" t="s">
        <v>158</v>
      </c>
      <c r="K14" s="24"/>
      <c r="L14" s="25"/>
    </row>
    <row r="15" spans="2:12" x14ac:dyDescent="0.25">
      <c r="B15" s="4" t="s">
        <v>9</v>
      </c>
      <c r="C15" s="4" t="s">
        <v>13</v>
      </c>
      <c r="H15" t="s">
        <v>157</v>
      </c>
      <c r="K15" s="24"/>
      <c r="L15" s="25"/>
    </row>
    <row r="16" spans="2:12" x14ac:dyDescent="0.25">
      <c r="B16" s="4" t="s">
        <v>159</v>
      </c>
      <c r="C16" s="4" t="s">
        <v>160</v>
      </c>
      <c r="K16" s="24"/>
      <c r="L16" s="25"/>
    </row>
    <row r="17" spans="11:12" x14ac:dyDescent="0.25">
      <c r="K17" s="24"/>
      <c r="L17" s="25"/>
    </row>
    <row r="18" spans="11:12" x14ac:dyDescent="0.25">
      <c r="K18" s="24"/>
      <c r="L18" s="25"/>
    </row>
    <row r="19" spans="11:12" x14ac:dyDescent="0.25">
      <c r="K19" s="24"/>
    </row>
    <row r="20" spans="11:12" x14ac:dyDescent="0.25">
      <c r="K20" s="24"/>
    </row>
    <row r="21" spans="11:12" x14ac:dyDescent="0.25">
      <c r="K21" s="24"/>
    </row>
    <row r="22" spans="11:12" x14ac:dyDescent="0.25">
      <c r="K22" s="24"/>
    </row>
    <row r="23" spans="11:12" x14ac:dyDescent="0.25">
      <c r="K23" s="24"/>
    </row>
    <row r="24" spans="11:12" x14ac:dyDescent="0.25">
      <c r="K24" s="24"/>
    </row>
    <row r="25" spans="11:12" x14ac:dyDescent="0.25">
      <c r="K25" s="24"/>
    </row>
    <row r="26" spans="11:12" x14ac:dyDescent="0.25">
      <c r="K26" s="24"/>
    </row>
    <row r="27" spans="11:12" x14ac:dyDescent="0.25">
      <c r="K27" s="24"/>
    </row>
    <row r="28" spans="11:12" x14ac:dyDescent="0.25">
      <c r="K28" s="24"/>
    </row>
    <row r="29" spans="11:12" x14ac:dyDescent="0.25">
      <c r="K29" s="24"/>
    </row>
    <row r="30" spans="11:12" x14ac:dyDescent="0.25">
      <c r="K30" s="24"/>
    </row>
    <row r="31" spans="11:12" x14ac:dyDescent="0.25">
      <c r="K31" s="24"/>
    </row>
    <row r="32" spans="11:12" x14ac:dyDescent="0.25">
      <c r="K32" s="24"/>
    </row>
    <row r="33" spans="11:11" x14ac:dyDescent="0.25">
      <c r="K33" s="24"/>
    </row>
    <row r="34" spans="11:11" x14ac:dyDescent="0.25">
      <c r="K34" s="2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R_PARA_LEFT">
                <anchor>
                  <from>
                    <xdr:col>11</xdr:col>
                    <xdr:colOff>28575</xdr:colOff>
                    <xdr:row>3</xdr:row>
                    <xdr:rowOff>38100</xdr:rowOff>
                  </from>
                  <to>
                    <xdr:col>11</xdr:col>
                    <xdr:colOff>676275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R_PARA_MID">
                <anchor>
                  <from>
                    <xdr:col>11</xdr:col>
                    <xdr:colOff>28575</xdr:colOff>
                    <xdr:row>4</xdr:row>
                    <xdr:rowOff>171450</xdr:rowOff>
                  </from>
                  <to>
                    <xdr:col>11</xdr:col>
                    <xdr:colOff>676275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IR_PARA_RIGHT">
                <anchor>
                  <from>
                    <xdr:col>11</xdr:col>
                    <xdr:colOff>28575</xdr:colOff>
                    <xdr:row>7</xdr:row>
                    <xdr:rowOff>38100</xdr:rowOff>
                  </from>
                  <to>
                    <xdr:col>11</xdr:col>
                    <xdr:colOff>676275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IR_PARA_INSTR">
                <anchor>
                  <from>
                    <xdr:col>11</xdr:col>
                    <xdr:colOff>28575</xdr:colOff>
                    <xdr:row>8</xdr:row>
                    <xdr:rowOff>276225</xdr:rowOff>
                  </from>
                  <to>
                    <xdr:col>11</xdr:col>
                    <xdr:colOff>676275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IR_PARA_EXERCICIO">
                <anchor>
                  <from>
                    <xdr:col>11</xdr:col>
                    <xdr:colOff>28575</xdr:colOff>
                    <xdr:row>11</xdr:row>
                    <xdr:rowOff>38100</xdr:rowOff>
                  </from>
                  <to>
                    <xdr:col>11</xdr:col>
                    <xdr:colOff>676275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IR_PARA_BASEUNICA">
                <anchor>
                  <from>
                    <xdr:col>11</xdr:col>
                    <xdr:colOff>28575</xdr:colOff>
                    <xdr:row>13</xdr:row>
                    <xdr:rowOff>85725</xdr:rowOff>
                  </from>
                  <to>
                    <xdr:col>11</xdr:col>
                    <xdr:colOff>676275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E35"/>
  <sheetViews>
    <sheetView workbookViewId="0">
      <selection activeCell="H13" sqref="H13"/>
    </sheetView>
  </sheetViews>
  <sheetFormatPr defaultRowHeight="15" x14ac:dyDescent="0.25"/>
  <cols>
    <col min="2" max="2" width="53.85546875" bestFit="1" customWidth="1"/>
    <col min="3" max="3" width="17" bestFit="1" customWidth="1"/>
    <col min="4" max="4" width="16.42578125" customWidth="1"/>
  </cols>
  <sheetData>
    <row r="2" spans="2:5" x14ac:dyDescent="0.25">
      <c r="B2" s="5" t="s">
        <v>6</v>
      </c>
      <c r="E2" s="24"/>
    </row>
    <row r="3" spans="2:5" x14ac:dyDescent="0.25">
      <c r="B3" s="4" t="s">
        <v>10</v>
      </c>
      <c r="E3" s="24"/>
    </row>
    <row r="4" spans="2:5" x14ac:dyDescent="0.25">
      <c r="B4" s="4"/>
      <c r="E4" s="24"/>
    </row>
    <row r="5" spans="2:5" x14ac:dyDescent="0.25">
      <c r="B5" s="2" t="s">
        <v>14</v>
      </c>
      <c r="E5" s="24"/>
    </row>
    <row r="6" spans="2:5" x14ac:dyDescent="0.25">
      <c r="B6" s="6" t="s">
        <v>15</v>
      </c>
      <c r="C6" s="6" t="s">
        <v>17</v>
      </c>
      <c r="D6" s="6" t="s">
        <v>18</v>
      </c>
      <c r="E6" s="24"/>
    </row>
    <row r="7" spans="2:5" x14ac:dyDescent="0.25">
      <c r="B7" s="2" t="s">
        <v>16</v>
      </c>
      <c r="C7" s="2" t="s">
        <v>60</v>
      </c>
      <c r="D7" s="7">
        <v>1001</v>
      </c>
      <c r="E7" s="24"/>
    </row>
    <row r="8" spans="2:5" x14ac:dyDescent="0.25">
      <c r="E8" s="24"/>
    </row>
    <row r="9" spans="2:5" x14ac:dyDescent="0.25">
      <c r="E9" s="24"/>
    </row>
    <row r="10" spans="2:5" x14ac:dyDescent="0.25">
      <c r="B10" s="6" t="s">
        <v>19</v>
      </c>
      <c r="E10" s="24"/>
    </row>
    <row r="11" spans="2:5" x14ac:dyDescent="0.25">
      <c r="E11" s="24"/>
    </row>
    <row r="12" spans="2:5" x14ac:dyDescent="0.25">
      <c r="B12" s="2" t="s">
        <v>20</v>
      </c>
      <c r="C12" s="6" t="s">
        <v>37</v>
      </c>
      <c r="E12" s="24"/>
    </row>
    <row r="13" spans="2:5" x14ac:dyDescent="0.25">
      <c r="B13" s="8" t="s">
        <v>21</v>
      </c>
      <c r="C13" t="s">
        <v>162</v>
      </c>
      <c r="E13" s="24"/>
    </row>
    <row r="14" spans="2:5" x14ac:dyDescent="0.25">
      <c r="B14" s="8" t="s">
        <v>22</v>
      </c>
      <c r="C14" t="s">
        <v>163</v>
      </c>
      <c r="E14" s="24"/>
    </row>
    <row r="15" spans="2:5" x14ac:dyDescent="0.25">
      <c r="B15" s="8" t="s">
        <v>23</v>
      </c>
      <c r="C15" t="s">
        <v>164</v>
      </c>
      <c r="E15" s="24"/>
    </row>
    <row r="16" spans="2:5" x14ac:dyDescent="0.25">
      <c r="B16" s="8" t="s">
        <v>24</v>
      </c>
      <c r="C16" t="s">
        <v>165</v>
      </c>
      <c r="E16" s="24"/>
    </row>
    <row r="17" spans="2:5" x14ac:dyDescent="0.25">
      <c r="B17" s="8" t="s">
        <v>25</v>
      </c>
      <c r="C17" t="s">
        <v>166</v>
      </c>
      <c r="E17" s="24"/>
    </row>
    <row r="18" spans="2:5" x14ac:dyDescent="0.25">
      <c r="B18" s="8" t="s">
        <v>26</v>
      </c>
      <c r="C18" t="s">
        <v>167</v>
      </c>
      <c r="E18" s="24"/>
    </row>
    <row r="19" spans="2:5" x14ac:dyDescent="0.25">
      <c r="B19" s="8" t="s">
        <v>27</v>
      </c>
      <c r="C19" t="s">
        <v>168</v>
      </c>
      <c r="E19" s="24"/>
    </row>
    <row r="20" spans="2:5" x14ac:dyDescent="0.25">
      <c r="B20" s="8" t="s">
        <v>28</v>
      </c>
      <c r="C20" t="s">
        <v>169</v>
      </c>
      <c r="E20" s="24"/>
    </row>
    <row r="21" spans="2:5" x14ac:dyDescent="0.25">
      <c r="B21" s="8" t="s">
        <v>29</v>
      </c>
      <c r="C21" t="s">
        <v>170</v>
      </c>
      <c r="E21" s="24"/>
    </row>
    <row r="22" spans="2:5" x14ac:dyDescent="0.25">
      <c r="B22" s="8" t="s">
        <v>30</v>
      </c>
      <c r="C22" t="s">
        <v>171</v>
      </c>
      <c r="E22" s="24"/>
    </row>
    <row r="23" spans="2:5" x14ac:dyDescent="0.25">
      <c r="B23" s="8" t="s">
        <v>31</v>
      </c>
      <c r="C23" t="s">
        <v>172</v>
      </c>
      <c r="E23" s="24"/>
    </row>
    <row r="24" spans="2:5" x14ac:dyDescent="0.25">
      <c r="B24" s="8" t="s">
        <v>32</v>
      </c>
      <c r="C24" t="s">
        <v>173</v>
      </c>
      <c r="E24" s="24"/>
    </row>
    <row r="25" spans="2:5" x14ac:dyDescent="0.25">
      <c r="B25" s="8" t="s">
        <v>33</v>
      </c>
      <c r="C25" t="s">
        <v>174</v>
      </c>
      <c r="E25" s="24"/>
    </row>
    <row r="26" spans="2:5" x14ac:dyDescent="0.25">
      <c r="B26" s="8" t="s">
        <v>34</v>
      </c>
      <c r="C26" t="s">
        <v>175</v>
      </c>
      <c r="E26" s="24"/>
    </row>
    <row r="27" spans="2:5" x14ac:dyDescent="0.25">
      <c r="B27" s="8" t="s">
        <v>35</v>
      </c>
      <c r="C27" t="s">
        <v>176</v>
      </c>
      <c r="E27" s="24"/>
    </row>
    <row r="28" spans="2:5" x14ac:dyDescent="0.25">
      <c r="B28" s="8" t="s">
        <v>36</v>
      </c>
      <c r="C28" t="s">
        <v>177</v>
      </c>
      <c r="E28" s="24"/>
    </row>
    <row r="29" spans="2:5" x14ac:dyDescent="0.25">
      <c r="E29" s="24"/>
    </row>
    <row r="30" spans="2:5" x14ac:dyDescent="0.25">
      <c r="E30" s="24"/>
    </row>
    <row r="31" spans="2:5" x14ac:dyDescent="0.25">
      <c r="E31" s="24"/>
    </row>
    <row r="32" spans="2:5" x14ac:dyDescent="0.25">
      <c r="E32" s="24"/>
    </row>
    <row r="33" spans="5:5" x14ac:dyDescent="0.25">
      <c r="E33" s="24"/>
    </row>
    <row r="34" spans="5:5" x14ac:dyDescent="0.25">
      <c r="E34" s="24"/>
    </row>
    <row r="35" spans="5:5" x14ac:dyDescent="0.25">
      <c r="E35" s="2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E35"/>
  <sheetViews>
    <sheetView workbookViewId="0">
      <selection activeCell="H4" sqref="H4"/>
    </sheetView>
  </sheetViews>
  <sheetFormatPr defaultRowHeight="15" x14ac:dyDescent="0.25"/>
  <cols>
    <col min="2" max="2" width="30.28515625" bestFit="1" customWidth="1"/>
    <col min="3" max="3" width="21.7109375" bestFit="1" customWidth="1"/>
    <col min="4" max="4" width="10.140625" bestFit="1" customWidth="1"/>
  </cols>
  <sheetData>
    <row r="2" spans="2:5" x14ac:dyDescent="0.25">
      <c r="B2" s="5" t="s">
        <v>7</v>
      </c>
      <c r="E2" s="24"/>
    </row>
    <row r="3" spans="2:5" x14ac:dyDescent="0.25">
      <c r="B3" s="4" t="s">
        <v>11</v>
      </c>
      <c r="E3" s="24"/>
    </row>
    <row r="4" spans="2:5" x14ac:dyDescent="0.25">
      <c r="B4" s="4"/>
      <c r="E4" s="24"/>
    </row>
    <row r="5" spans="2:5" x14ac:dyDescent="0.25">
      <c r="B5" s="2" t="s">
        <v>14</v>
      </c>
      <c r="E5" s="24"/>
    </row>
    <row r="6" spans="2:5" x14ac:dyDescent="0.25">
      <c r="B6" s="6" t="s">
        <v>56</v>
      </c>
      <c r="C6" s="6" t="s">
        <v>57</v>
      </c>
      <c r="D6" s="6" t="s">
        <v>18</v>
      </c>
      <c r="E6" s="24"/>
    </row>
    <row r="7" spans="2:5" x14ac:dyDescent="0.25">
      <c r="B7" s="7" t="s">
        <v>59</v>
      </c>
      <c r="C7" s="2" t="s">
        <v>61</v>
      </c>
      <c r="D7" s="9">
        <v>44107</v>
      </c>
      <c r="E7" s="24"/>
    </row>
    <row r="8" spans="2:5" x14ac:dyDescent="0.25">
      <c r="E8" s="24"/>
    </row>
    <row r="9" spans="2:5" x14ac:dyDescent="0.25">
      <c r="E9" s="24"/>
    </row>
    <row r="10" spans="2:5" x14ac:dyDescent="0.25">
      <c r="B10" s="6" t="s">
        <v>19</v>
      </c>
      <c r="E10" s="24"/>
    </row>
    <row r="11" spans="2:5" x14ac:dyDescent="0.25">
      <c r="E11" s="24"/>
    </row>
    <row r="12" spans="2:5" x14ac:dyDescent="0.25">
      <c r="B12" s="2" t="s">
        <v>38</v>
      </c>
      <c r="C12" s="6" t="s">
        <v>62</v>
      </c>
      <c r="E12" s="24"/>
    </row>
    <row r="13" spans="2:5" x14ac:dyDescent="0.25">
      <c r="B13" s="8" t="s">
        <v>39</v>
      </c>
      <c r="C13" s="26">
        <v>44092</v>
      </c>
      <c r="E13" s="24"/>
    </row>
    <row r="14" spans="2:5" x14ac:dyDescent="0.25">
      <c r="B14" s="8" t="s">
        <v>40</v>
      </c>
      <c r="C14" s="26">
        <v>44097</v>
      </c>
      <c r="E14" s="24"/>
    </row>
    <row r="15" spans="2:5" x14ac:dyDescent="0.25">
      <c r="B15" s="8" t="s">
        <v>41</v>
      </c>
      <c r="C15" s="26">
        <v>44085</v>
      </c>
      <c r="E15" s="24"/>
    </row>
    <row r="16" spans="2:5" x14ac:dyDescent="0.25">
      <c r="B16" s="8" t="s">
        <v>42</v>
      </c>
      <c r="C16" s="26">
        <v>44095</v>
      </c>
      <c r="E16" s="24"/>
    </row>
    <row r="17" spans="2:5" x14ac:dyDescent="0.25">
      <c r="B17" s="8" t="s">
        <v>43</v>
      </c>
      <c r="C17" s="26">
        <v>44079</v>
      </c>
      <c r="E17" s="24"/>
    </row>
    <row r="18" spans="2:5" x14ac:dyDescent="0.25">
      <c r="B18" s="8" t="s">
        <v>44</v>
      </c>
      <c r="C18" s="26">
        <v>44100</v>
      </c>
      <c r="E18" s="24"/>
    </row>
    <row r="19" spans="2:5" x14ac:dyDescent="0.25">
      <c r="B19" s="8" t="s">
        <v>45</v>
      </c>
      <c r="C19" s="26">
        <v>44093</v>
      </c>
      <c r="E19" s="24"/>
    </row>
    <row r="20" spans="2:5" x14ac:dyDescent="0.25">
      <c r="B20" s="8" t="s">
        <v>46</v>
      </c>
      <c r="C20" s="26">
        <v>44088</v>
      </c>
      <c r="E20" s="24"/>
    </row>
    <row r="21" spans="2:5" x14ac:dyDescent="0.25">
      <c r="B21" s="8" t="s">
        <v>47</v>
      </c>
      <c r="C21" s="26">
        <v>44097</v>
      </c>
      <c r="E21" s="24"/>
    </row>
    <row r="22" spans="2:5" x14ac:dyDescent="0.25">
      <c r="B22" s="8" t="s">
        <v>48</v>
      </c>
      <c r="C22" s="26">
        <v>44083</v>
      </c>
      <c r="E22" s="24"/>
    </row>
    <row r="23" spans="2:5" x14ac:dyDescent="0.25">
      <c r="B23" s="8" t="s">
        <v>49</v>
      </c>
      <c r="C23" s="26">
        <v>44077</v>
      </c>
      <c r="E23" s="24"/>
    </row>
    <row r="24" spans="2:5" x14ac:dyDescent="0.25">
      <c r="B24" s="8" t="s">
        <v>50</v>
      </c>
      <c r="C24" s="26">
        <v>44078</v>
      </c>
      <c r="E24" s="24"/>
    </row>
    <row r="25" spans="2:5" x14ac:dyDescent="0.25">
      <c r="B25" s="8" t="s">
        <v>51</v>
      </c>
      <c r="C25" s="26">
        <v>44101</v>
      </c>
      <c r="E25" s="24"/>
    </row>
    <row r="26" spans="2:5" x14ac:dyDescent="0.25">
      <c r="B26" s="8" t="s">
        <v>52</v>
      </c>
      <c r="C26" s="26">
        <v>44103</v>
      </c>
      <c r="E26" s="24"/>
    </row>
    <row r="27" spans="2:5" x14ac:dyDescent="0.25">
      <c r="B27" s="8" t="s">
        <v>53</v>
      </c>
      <c r="C27" s="26">
        <v>44083</v>
      </c>
      <c r="E27" s="24"/>
    </row>
    <row r="28" spans="2:5" x14ac:dyDescent="0.25">
      <c r="B28" s="8" t="s">
        <v>54</v>
      </c>
      <c r="C28" s="26">
        <v>44095</v>
      </c>
      <c r="E28" s="24"/>
    </row>
    <row r="29" spans="2:5" x14ac:dyDescent="0.25">
      <c r="E29" s="24"/>
    </row>
    <row r="30" spans="2:5" x14ac:dyDescent="0.25">
      <c r="E30" s="24"/>
    </row>
    <row r="31" spans="2:5" x14ac:dyDescent="0.25">
      <c r="E31" s="24"/>
    </row>
    <row r="32" spans="2:5" x14ac:dyDescent="0.25">
      <c r="E32" s="24"/>
    </row>
    <row r="33" spans="5:5" x14ac:dyDescent="0.25">
      <c r="E33" s="24"/>
    </row>
    <row r="34" spans="5:5" x14ac:dyDescent="0.25">
      <c r="E34" s="24"/>
    </row>
    <row r="35" spans="5:5" x14ac:dyDescent="0.25">
      <c r="E35" s="24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irData">
                <anchor moveWithCells="1" sizeWithCells="1">
                  <from>
                    <xdr:col>4</xdr:col>
                    <xdr:colOff>581025</xdr:colOff>
                    <xdr:row>1</xdr:row>
                    <xdr:rowOff>180975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E36"/>
  <sheetViews>
    <sheetView workbookViewId="0">
      <selection activeCell="G9" sqref="G9"/>
    </sheetView>
  </sheetViews>
  <sheetFormatPr defaultRowHeight="15" x14ac:dyDescent="0.25"/>
  <cols>
    <col min="2" max="2" width="30.28515625" bestFit="1" customWidth="1"/>
    <col min="3" max="3" width="21.7109375" bestFit="1" customWidth="1"/>
    <col min="4" max="4" width="10.140625" bestFit="1" customWidth="1"/>
  </cols>
  <sheetData>
    <row r="2" spans="2:5" x14ac:dyDescent="0.25">
      <c r="B2" s="5" t="s">
        <v>8</v>
      </c>
      <c r="E2" s="24"/>
    </row>
    <row r="3" spans="2:5" x14ac:dyDescent="0.25">
      <c r="B3" s="4" t="s">
        <v>12</v>
      </c>
      <c r="E3" s="24"/>
    </row>
    <row r="4" spans="2:5" x14ac:dyDescent="0.25">
      <c r="B4" s="4"/>
      <c r="E4" s="24"/>
    </row>
    <row r="5" spans="2:5" x14ac:dyDescent="0.25">
      <c r="B5" s="2" t="s">
        <v>14</v>
      </c>
      <c r="E5" s="24"/>
    </row>
    <row r="6" spans="2:5" x14ac:dyDescent="0.25">
      <c r="B6" s="6" t="s">
        <v>56</v>
      </c>
      <c r="C6" s="6" t="s">
        <v>57</v>
      </c>
      <c r="D6" s="6" t="s">
        <v>18</v>
      </c>
      <c r="E6" s="24"/>
    </row>
    <row r="7" spans="2:5" x14ac:dyDescent="0.25">
      <c r="B7" s="7" t="s">
        <v>59</v>
      </c>
      <c r="C7" s="2" t="s">
        <v>58</v>
      </c>
      <c r="D7" s="7">
        <v>1048576</v>
      </c>
      <c r="E7" s="24"/>
    </row>
    <row r="8" spans="2:5" x14ac:dyDescent="0.25">
      <c r="E8" s="24"/>
    </row>
    <row r="9" spans="2:5" x14ac:dyDescent="0.25">
      <c r="E9" s="24"/>
    </row>
    <row r="10" spans="2:5" x14ac:dyDescent="0.25">
      <c r="B10" s="6" t="s">
        <v>19</v>
      </c>
      <c r="E10" s="24"/>
    </row>
    <row r="11" spans="2:5" x14ac:dyDescent="0.25">
      <c r="E11" s="24"/>
    </row>
    <row r="12" spans="2:5" x14ac:dyDescent="0.25">
      <c r="B12" s="2" t="s">
        <v>38</v>
      </c>
      <c r="C12" s="6" t="s">
        <v>55</v>
      </c>
      <c r="E12" s="24"/>
    </row>
    <row r="13" spans="2:5" x14ac:dyDescent="0.25">
      <c r="B13" s="8" t="s">
        <v>39</v>
      </c>
      <c r="C13">
        <v>51253</v>
      </c>
      <c r="E13" s="24"/>
    </row>
    <row r="14" spans="2:5" x14ac:dyDescent="0.25">
      <c r="B14" s="8" t="s">
        <v>40</v>
      </c>
      <c r="C14">
        <v>36678</v>
      </c>
      <c r="E14" s="24"/>
    </row>
    <row r="15" spans="2:5" x14ac:dyDescent="0.25">
      <c r="B15" s="8" t="s">
        <v>41</v>
      </c>
      <c r="C15">
        <v>63003</v>
      </c>
      <c r="E15" s="24"/>
    </row>
    <row r="16" spans="2:5" x14ac:dyDescent="0.25">
      <c r="B16" s="8" t="s">
        <v>42</v>
      </c>
      <c r="C16">
        <v>17669</v>
      </c>
      <c r="E16" s="24"/>
    </row>
    <row r="17" spans="2:5" x14ac:dyDescent="0.25">
      <c r="B17" s="8" t="s">
        <v>43</v>
      </c>
      <c r="C17">
        <v>36507</v>
      </c>
      <c r="E17" s="24"/>
    </row>
    <row r="18" spans="2:5" x14ac:dyDescent="0.25">
      <c r="B18" s="8" t="s">
        <v>44</v>
      </c>
      <c r="C18">
        <v>16388</v>
      </c>
      <c r="E18" s="24"/>
    </row>
    <row r="19" spans="2:5" x14ac:dyDescent="0.25">
      <c r="B19" s="8" t="s">
        <v>45</v>
      </c>
      <c r="C19">
        <v>47638</v>
      </c>
      <c r="E19" s="24"/>
    </row>
    <row r="20" spans="2:5" x14ac:dyDescent="0.25">
      <c r="B20" s="8" t="s">
        <v>46</v>
      </c>
      <c r="C20">
        <v>63635</v>
      </c>
      <c r="E20" s="24"/>
    </row>
    <row r="21" spans="2:5" x14ac:dyDescent="0.25">
      <c r="B21" s="8" t="s">
        <v>47</v>
      </c>
      <c r="C21">
        <v>80829</v>
      </c>
      <c r="E21" s="24"/>
    </row>
    <row r="22" spans="2:5" x14ac:dyDescent="0.25">
      <c r="B22" s="8" t="s">
        <v>48</v>
      </c>
      <c r="C22">
        <v>28055</v>
      </c>
      <c r="E22" s="24"/>
    </row>
    <row r="23" spans="2:5" x14ac:dyDescent="0.25">
      <c r="B23" s="8" t="s">
        <v>49</v>
      </c>
      <c r="C23">
        <v>36740</v>
      </c>
      <c r="E23" s="24"/>
    </row>
    <row r="24" spans="2:5" x14ac:dyDescent="0.25">
      <c r="B24" s="8" t="s">
        <v>50</v>
      </c>
      <c r="C24">
        <v>13896</v>
      </c>
      <c r="E24" s="24"/>
    </row>
    <row r="25" spans="2:5" x14ac:dyDescent="0.25">
      <c r="B25" s="8" t="s">
        <v>51</v>
      </c>
      <c r="C25">
        <v>53688</v>
      </c>
      <c r="E25" s="24"/>
    </row>
    <row r="26" spans="2:5" x14ac:dyDescent="0.25">
      <c r="B26" s="8" t="s">
        <v>52</v>
      </c>
      <c r="C26">
        <v>92740</v>
      </c>
      <c r="E26" s="24"/>
    </row>
    <row r="27" spans="2:5" x14ac:dyDescent="0.25">
      <c r="B27" s="8" t="s">
        <v>53</v>
      </c>
      <c r="C27">
        <v>94551</v>
      </c>
      <c r="E27" s="24"/>
    </row>
    <row r="28" spans="2:5" x14ac:dyDescent="0.25">
      <c r="B28" s="8" t="s">
        <v>54</v>
      </c>
      <c r="C28">
        <v>14214</v>
      </c>
      <c r="E28" s="24"/>
    </row>
    <row r="29" spans="2:5" x14ac:dyDescent="0.25">
      <c r="E29" s="24"/>
    </row>
    <row r="30" spans="2:5" x14ac:dyDescent="0.25">
      <c r="E30" s="24"/>
    </row>
    <row r="31" spans="2:5" x14ac:dyDescent="0.25">
      <c r="E31" s="24"/>
    </row>
    <row r="32" spans="2:5" x14ac:dyDescent="0.25">
      <c r="E32" s="24"/>
    </row>
    <row r="33" spans="5:5" x14ac:dyDescent="0.25">
      <c r="E33" s="24"/>
    </row>
    <row r="34" spans="5:5" x14ac:dyDescent="0.25">
      <c r="E34" s="24"/>
    </row>
    <row r="35" spans="5:5" x14ac:dyDescent="0.25">
      <c r="E35" s="24"/>
    </row>
    <row r="36" spans="5:5" x14ac:dyDescent="0.25">
      <c r="E36" s="24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trairNFTexto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H35"/>
  <sheetViews>
    <sheetView workbookViewId="0">
      <selection activeCell="I14" sqref="I14"/>
    </sheetView>
  </sheetViews>
  <sheetFormatPr defaultRowHeight="15" x14ac:dyDescent="0.25"/>
  <cols>
    <col min="2" max="2" width="37.140625" customWidth="1"/>
    <col min="3" max="3" width="36" bestFit="1" customWidth="1"/>
    <col min="4" max="4" width="10.140625" bestFit="1" customWidth="1"/>
    <col min="6" max="6" width="21.7109375" customWidth="1"/>
  </cols>
  <sheetData>
    <row r="2" spans="1:8" x14ac:dyDescent="0.25">
      <c r="A2">
        <v>13</v>
      </c>
      <c r="B2" s="5" t="s">
        <v>9</v>
      </c>
      <c r="E2" s="24"/>
      <c r="H2" s="24"/>
    </row>
    <row r="3" spans="1:8" x14ac:dyDescent="0.25">
      <c r="B3" s="4" t="s">
        <v>80</v>
      </c>
      <c r="E3" s="24"/>
      <c r="H3" s="24"/>
    </row>
    <row r="4" spans="1:8" x14ac:dyDescent="0.25">
      <c r="B4" s="4"/>
      <c r="E4" s="24"/>
      <c r="H4" s="24"/>
    </row>
    <row r="5" spans="1:8" x14ac:dyDescent="0.25">
      <c r="B5" s="2" t="s">
        <v>14</v>
      </c>
      <c r="E5" s="24"/>
      <c r="H5" s="24"/>
    </row>
    <row r="6" spans="1:8" x14ac:dyDescent="0.25">
      <c r="B6" s="6" t="s">
        <v>81</v>
      </c>
      <c r="C6" s="6" t="s">
        <v>57</v>
      </c>
      <c r="D6" s="6" t="s">
        <v>18</v>
      </c>
      <c r="E6" s="24"/>
      <c r="H6" s="24"/>
    </row>
    <row r="7" spans="1:8" x14ac:dyDescent="0.25">
      <c r="B7" t="s">
        <v>82</v>
      </c>
      <c r="C7" s="2" t="s">
        <v>83</v>
      </c>
      <c r="D7" s="11">
        <v>13</v>
      </c>
      <c r="E7" s="24"/>
      <c r="H7" s="24"/>
    </row>
    <row r="8" spans="1:8" x14ac:dyDescent="0.25">
      <c r="E8" s="24"/>
      <c r="H8" s="24"/>
    </row>
    <row r="9" spans="1:8" x14ac:dyDescent="0.25">
      <c r="E9" s="24"/>
      <c r="H9" s="24"/>
    </row>
    <row r="10" spans="1:8" x14ac:dyDescent="0.25">
      <c r="B10" s="6" t="s">
        <v>19</v>
      </c>
      <c r="E10" s="24"/>
      <c r="H10" s="24"/>
    </row>
    <row r="11" spans="1:8" x14ac:dyDescent="0.25">
      <c r="E11" s="24"/>
      <c r="H11" s="24"/>
    </row>
    <row r="12" spans="1:8" x14ac:dyDescent="0.25">
      <c r="B12" s="2" t="s">
        <v>20</v>
      </c>
      <c r="C12" s="6" t="s">
        <v>79</v>
      </c>
      <c r="E12" s="24"/>
      <c r="H12" s="24"/>
    </row>
    <row r="13" spans="1:8" x14ac:dyDescent="0.25">
      <c r="B13" s="8" t="s">
        <v>63</v>
      </c>
      <c r="C13" s="10" t="s">
        <v>178</v>
      </c>
      <c r="E13" s="24"/>
      <c r="F13" s="27" t="e">
        <f>SEARCH("taxa",B13)</f>
        <v>#VALUE!</v>
      </c>
      <c r="H13" s="24"/>
    </row>
    <row r="14" spans="1:8" x14ac:dyDescent="0.25">
      <c r="B14" s="8" t="s">
        <v>64</v>
      </c>
      <c r="C14" s="10" t="s">
        <v>178</v>
      </c>
      <c r="E14" s="24"/>
      <c r="F14" s="27" t="e">
        <f t="shared" ref="F14:F28" si="0">SEARCH("taxa",B14)</f>
        <v>#VALUE!</v>
      </c>
      <c r="H14" s="24"/>
    </row>
    <row r="15" spans="1:8" x14ac:dyDescent="0.25">
      <c r="B15" s="8" t="s">
        <v>65</v>
      </c>
      <c r="C15" s="10" t="s">
        <v>178</v>
      </c>
      <c r="E15" s="24"/>
      <c r="F15" s="27" t="e">
        <f t="shared" si="0"/>
        <v>#VALUE!</v>
      </c>
      <c r="H15" s="24"/>
    </row>
    <row r="16" spans="1:8" x14ac:dyDescent="0.25">
      <c r="B16" s="8" t="s">
        <v>66</v>
      </c>
      <c r="C16" s="10" t="s">
        <v>178</v>
      </c>
      <c r="E16" s="24"/>
      <c r="F16" s="27" t="e">
        <f t="shared" si="0"/>
        <v>#VALUE!</v>
      </c>
      <c r="H16" s="24"/>
    </row>
    <row r="17" spans="2:8" x14ac:dyDescent="0.25">
      <c r="B17" s="8" t="s">
        <v>67</v>
      </c>
      <c r="C17" s="10" t="s">
        <v>178</v>
      </c>
      <c r="E17" s="24"/>
      <c r="F17" s="27" t="e">
        <f t="shared" si="0"/>
        <v>#VALUE!</v>
      </c>
      <c r="H17" s="24"/>
    </row>
    <row r="18" spans="2:8" x14ac:dyDescent="0.25">
      <c r="B18" s="8" t="s">
        <v>68</v>
      </c>
      <c r="C18" s="10" t="s">
        <v>178</v>
      </c>
      <c r="E18" s="24"/>
      <c r="F18" s="27" t="e">
        <f t="shared" si="0"/>
        <v>#VALUE!</v>
      </c>
      <c r="H18" s="24"/>
    </row>
    <row r="19" spans="2:8" x14ac:dyDescent="0.25">
      <c r="B19" s="8" t="s">
        <v>69</v>
      </c>
      <c r="C19" s="10" t="s">
        <v>178</v>
      </c>
      <c r="E19" s="24"/>
      <c r="F19" s="27" t="e">
        <f t="shared" si="0"/>
        <v>#VALUE!</v>
      </c>
      <c r="H19" s="24"/>
    </row>
    <row r="20" spans="2:8" x14ac:dyDescent="0.25">
      <c r="B20" s="8" t="s">
        <v>70</v>
      </c>
      <c r="C20" s="10" t="s">
        <v>178</v>
      </c>
      <c r="E20" s="24"/>
      <c r="F20" s="27" t="e">
        <f t="shared" si="0"/>
        <v>#VALUE!</v>
      </c>
      <c r="H20" s="24"/>
    </row>
    <row r="21" spans="2:8" x14ac:dyDescent="0.25">
      <c r="B21" s="8" t="s">
        <v>71</v>
      </c>
      <c r="C21" s="10" t="s">
        <v>178</v>
      </c>
      <c r="E21" s="24"/>
      <c r="F21" s="27" t="e">
        <f t="shared" si="0"/>
        <v>#VALUE!</v>
      </c>
      <c r="H21" s="24"/>
    </row>
    <row r="22" spans="2:8" x14ac:dyDescent="0.25">
      <c r="B22" s="8" t="s">
        <v>72</v>
      </c>
      <c r="C22" s="10" t="s">
        <v>178</v>
      </c>
      <c r="E22" s="24"/>
      <c r="F22" s="27" t="e">
        <f t="shared" si="0"/>
        <v>#VALUE!</v>
      </c>
      <c r="H22" s="24"/>
    </row>
    <row r="23" spans="2:8" x14ac:dyDescent="0.25">
      <c r="B23" s="8" t="s">
        <v>73</v>
      </c>
      <c r="C23" s="10" t="s">
        <v>178</v>
      </c>
      <c r="E23" s="24"/>
      <c r="F23" s="27" t="e">
        <f t="shared" si="0"/>
        <v>#VALUE!</v>
      </c>
      <c r="H23" s="24"/>
    </row>
    <row r="24" spans="2:8" x14ac:dyDescent="0.25">
      <c r="B24" s="8" t="s">
        <v>74</v>
      </c>
      <c r="C24" s="10" t="s">
        <v>179</v>
      </c>
      <c r="E24" s="24"/>
      <c r="F24" s="27">
        <f t="shared" si="0"/>
        <v>22</v>
      </c>
      <c r="H24" s="24"/>
    </row>
    <row r="25" spans="2:8" x14ac:dyDescent="0.25">
      <c r="B25" s="8" t="s">
        <v>75</v>
      </c>
      <c r="C25" s="10" t="s">
        <v>179</v>
      </c>
      <c r="E25" s="24"/>
      <c r="F25" s="27">
        <f t="shared" si="0"/>
        <v>22</v>
      </c>
      <c r="H25" s="24"/>
    </row>
    <row r="26" spans="2:8" x14ac:dyDescent="0.25">
      <c r="B26" s="8" t="s">
        <v>76</v>
      </c>
      <c r="C26" s="10" t="s">
        <v>179</v>
      </c>
      <c r="E26" s="24"/>
      <c r="F26" s="27">
        <f t="shared" si="0"/>
        <v>22</v>
      </c>
      <c r="H26" s="24"/>
    </row>
    <row r="27" spans="2:8" x14ac:dyDescent="0.25">
      <c r="B27" s="8" t="s">
        <v>77</v>
      </c>
      <c r="C27" s="10" t="s">
        <v>178</v>
      </c>
      <c r="E27" s="24"/>
      <c r="F27" s="27" t="e">
        <f t="shared" si="0"/>
        <v>#VALUE!</v>
      </c>
      <c r="H27" s="24"/>
    </row>
    <row r="28" spans="2:8" x14ac:dyDescent="0.25">
      <c r="B28" s="8" t="s">
        <v>78</v>
      </c>
      <c r="C28" s="10" t="s">
        <v>178</v>
      </c>
      <c r="E28" s="24"/>
      <c r="F28" s="27" t="e">
        <f t="shared" si="0"/>
        <v>#VALUE!</v>
      </c>
      <c r="H28" s="24"/>
    </row>
    <row r="29" spans="2:8" x14ac:dyDescent="0.25">
      <c r="E29" s="24"/>
      <c r="H29" s="24"/>
    </row>
    <row r="30" spans="2:8" x14ac:dyDescent="0.25">
      <c r="E30" s="24"/>
      <c r="H30" s="24"/>
    </row>
    <row r="31" spans="2:8" x14ac:dyDescent="0.25">
      <c r="E31" s="24"/>
      <c r="H31" s="24"/>
    </row>
    <row r="32" spans="2:8" x14ac:dyDescent="0.25">
      <c r="E32" s="24"/>
      <c r="H32" s="24"/>
    </row>
    <row r="33" spans="5:8" x14ac:dyDescent="0.25">
      <c r="E33" s="24"/>
      <c r="H33" s="24"/>
    </row>
    <row r="34" spans="5:8" x14ac:dyDescent="0.25">
      <c r="E34" s="24"/>
      <c r="H34" s="24"/>
    </row>
    <row r="35" spans="5:8" x14ac:dyDescent="0.25">
      <c r="E35" s="24"/>
      <c r="H35" s="24"/>
    </row>
  </sheetData>
  <conditionalFormatting sqref="C13:C28">
    <cfRule type="cellIs" dxfId="0" priority="1" stopIfTrue="1" operator="equal">
      <formula>"Sim"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sgatarTaxa">
                <anchor moveWithCells="1" sizeWithCells="1">
                  <from>
                    <xdr:col>4</xdr:col>
                    <xdr:colOff>600075</xdr:colOff>
                    <xdr:row>2</xdr:row>
                    <xdr:rowOff>19050</xdr:rowOff>
                  </from>
                  <to>
                    <xdr:col>6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00B0F0"/>
  </sheetPr>
  <dimension ref="A1:O51"/>
  <sheetViews>
    <sheetView workbookViewId="0">
      <selection activeCell="C44" sqref="C44"/>
    </sheetView>
  </sheetViews>
  <sheetFormatPr defaultRowHeight="15" x14ac:dyDescent="0.25"/>
  <cols>
    <col min="1" max="1" width="15.7109375" style="14" customWidth="1"/>
    <col min="2" max="2" width="12.7109375" style="14" customWidth="1"/>
    <col min="3" max="3" width="16.85546875" bestFit="1" customWidth="1"/>
    <col min="9" max="9" width="12.5703125" bestFit="1" customWidth="1"/>
    <col min="14" max="14" width="3.7109375" customWidth="1"/>
    <col min="15" max="15" width="14.42578125" bestFit="1" customWidth="1"/>
  </cols>
  <sheetData>
    <row r="1" spans="1:15" x14ac:dyDescent="0.25">
      <c r="A1" s="13" t="s">
        <v>84</v>
      </c>
      <c r="B1" s="13" t="s">
        <v>85</v>
      </c>
      <c r="C1" s="13" t="s">
        <v>136</v>
      </c>
    </row>
    <row r="2" spans="1:15" x14ac:dyDescent="0.25">
      <c r="A2" s="12" t="s">
        <v>86</v>
      </c>
      <c r="B2" s="15">
        <v>44096</v>
      </c>
      <c r="C2" s="8" t="s">
        <v>141</v>
      </c>
      <c r="E2" s="28" t="s">
        <v>180</v>
      </c>
      <c r="N2" s="17" t="s">
        <v>146</v>
      </c>
      <c r="O2" s="16"/>
    </row>
    <row r="3" spans="1:15" x14ac:dyDescent="0.25">
      <c r="A3" s="12" t="s">
        <v>87</v>
      </c>
      <c r="B3" s="15">
        <v>44098</v>
      </c>
      <c r="C3" s="8" t="s">
        <v>142</v>
      </c>
      <c r="E3" t="s">
        <v>181</v>
      </c>
      <c r="N3" s="18">
        <v>1</v>
      </c>
      <c r="O3" s="18" t="s">
        <v>137</v>
      </c>
    </row>
    <row r="4" spans="1:15" x14ac:dyDescent="0.25">
      <c r="A4" s="12" t="s">
        <v>88</v>
      </c>
      <c r="B4" s="15">
        <v>44096</v>
      </c>
      <c r="C4" s="8" t="s">
        <v>140</v>
      </c>
      <c r="E4" t="s">
        <v>9</v>
      </c>
      <c r="N4" s="18">
        <v>2</v>
      </c>
      <c r="O4" s="18" t="s">
        <v>138</v>
      </c>
    </row>
    <row r="5" spans="1:15" x14ac:dyDescent="0.25">
      <c r="A5" s="12" t="s">
        <v>89</v>
      </c>
      <c r="B5" s="15">
        <v>44081</v>
      </c>
      <c r="C5" s="8" t="s">
        <v>139</v>
      </c>
      <c r="E5" t="s">
        <v>182</v>
      </c>
      <c r="N5" s="18">
        <v>3</v>
      </c>
      <c r="O5" s="18" t="s">
        <v>139</v>
      </c>
    </row>
    <row r="6" spans="1:15" x14ac:dyDescent="0.25">
      <c r="A6" s="12" t="s">
        <v>90</v>
      </c>
      <c r="B6" s="15">
        <v>44089</v>
      </c>
      <c r="C6" s="8" t="s">
        <v>143</v>
      </c>
      <c r="E6" t="s">
        <v>183</v>
      </c>
      <c r="N6" s="18">
        <v>4</v>
      </c>
      <c r="O6" s="18" t="s">
        <v>140</v>
      </c>
    </row>
    <row r="7" spans="1:15" x14ac:dyDescent="0.25">
      <c r="A7" s="12" t="s">
        <v>91</v>
      </c>
      <c r="B7" s="15">
        <v>44093</v>
      </c>
      <c r="C7" s="8" t="s">
        <v>142</v>
      </c>
      <c r="N7" s="18">
        <v>5</v>
      </c>
      <c r="O7" s="18" t="s">
        <v>143</v>
      </c>
    </row>
    <row r="8" spans="1:15" x14ac:dyDescent="0.25">
      <c r="A8" s="12" t="s">
        <v>92</v>
      </c>
      <c r="B8" s="15">
        <v>44081</v>
      </c>
      <c r="C8" s="8" t="s">
        <v>139</v>
      </c>
      <c r="N8" s="18">
        <v>6</v>
      </c>
      <c r="O8" s="18" t="s">
        <v>141</v>
      </c>
    </row>
    <row r="9" spans="1:15" x14ac:dyDescent="0.25">
      <c r="A9" s="12" t="s">
        <v>93</v>
      </c>
      <c r="B9" s="15">
        <v>44083</v>
      </c>
      <c r="C9" s="8" t="s">
        <v>144</v>
      </c>
      <c r="N9" s="18">
        <v>7</v>
      </c>
      <c r="O9" s="18" t="s">
        <v>142</v>
      </c>
    </row>
    <row r="10" spans="1:15" x14ac:dyDescent="0.25">
      <c r="A10" s="12" t="s">
        <v>94</v>
      </c>
      <c r="B10" s="15">
        <v>44087</v>
      </c>
      <c r="C10" s="8" t="s">
        <v>144</v>
      </c>
      <c r="N10" s="18">
        <v>8</v>
      </c>
      <c r="O10" s="18" t="s">
        <v>145</v>
      </c>
    </row>
    <row r="11" spans="1:15" x14ac:dyDescent="0.25">
      <c r="A11" s="12" t="s">
        <v>95</v>
      </c>
      <c r="B11" s="15">
        <v>44094</v>
      </c>
      <c r="C11" s="8" t="s">
        <v>141</v>
      </c>
      <c r="N11" s="18">
        <v>9</v>
      </c>
      <c r="O11" s="18" t="s">
        <v>144</v>
      </c>
    </row>
    <row r="12" spans="1:15" x14ac:dyDescent="0.25">
      <c r="A12" s="12" t="s">
        <v>96</v>
      </c>
      <c r="B12" s="15">
        <v>44078</v>
      </c>
      <c r="C12" s="8" t="s">
        <v>145</v>
      </c>
    </row>
    <row r="13" spans="1:15" x14ac:dyDescent="0.25">
      <c r="A13" s="12" t="s">
        <v>97</v>
      </c>
      <c r="B13" s="15">
        <v>44079</v>
      </c>
      <c r="C13" s="8" t="s">
        <v>142</v>
      </c>
    </row>
    <row r="14" spans="1:15" x14ac:dyDescent="0.25">
      <c r="A14" s="12" t="s">
        <v>98</v>
      </c>
      <c r="B14" s="15">
        <v>44095</v>
      </c>
      <c r="C14" s="8" t="s">
        <v>142</v>
      </c>
    </row>
    <row r="15" spans="1:15" x14ac:dyDescent="0.25">
      <c r="A15" s="12" t="s">
        <v>99</v>
      </c>
      <c r="B15" s="15">
        <v>44094</v>
      </c>
      <c r="C15" s="8" t="s">
        <v>140</v>
      </c>
    </row>
    <row r="16" spans="1:15" x14ac:dyDescent="0.25">
      <c r="A16" s="12" t="s">
        <v>100</v>
      </c>
      <c r="B16" s="15">
        <v>44100</v>
      </c>
      <c r="C16" s="8" t="s">
        <v>142</v>
      </c>
    </row>
    <row r="17" spans="1:3" x14ac:dyDescent="0.25">
      <c r="A17" s="12" t="s">
        <v>101</v>
      </c>
      <c r="B17" s="15">
        <v>44090</v>
      </c>
      <c r="C17" s="8" t="s">
        <v>145</v>
      </c>
    </row>
    <row r="18" spans="1:3" x14ac:dyDescent="0.25">
      <c r="A18" s="12" t="s">
        <v>102</v>
      </c>
      <c r="B18" s="15">
        <v>44103</v>
      </c>
      <c r="C18" s="8" t="s">
        <v>144</v>
      </c>
    </row>
    <row r="19" spans="1:3" x14ac:dyDescent="0.25">
      <c r="A19" s="12" t="s">
        <v>103</v>
      </c>
      <c r="B19" s="15">
        <v>44092</v>
      </c>
      <c r="C19" s="8" t="s">
        <v>142</v>
      </c>
    </row>
    <row r="20" spans="1:3" x14ac:dyDescent="0.25">
      <c r="A20" s="12" t="s">
        <v>104</v>
      </c>
      <c r="B20" s="15">
        <v>44087</v>
      </c>
      <c r="C20" s="8" t="s">
        <v>140</v>
      </c>
    </row>
    <row r="21" spans="1:3" x14ac:dyDescent="0.25">
      <c r="A21" s="12" t="s">
        <v>105</v>
      </c>
      <c r="B21" s="15">
        <v>44103</v>
      </c>
      <c r="C21" s="8" t="s">
        <v>142</v>
      </c>
    </row>
    <row r="22" spans="1:3" x14ac:dyDescent="0.25">
      <c r="A22" s="12" t="s">
        <v>106</v>
      </c>
      <c r="B22" s="15">
        <v>44076</v>
      </c>
      <c r="C22" s="8" t="s">
        <v>142</v>
      </c>
    </row>
    <row r="23" spans="1:3" x14ac:dyDescent="0.25">
      <c r="A23" s="12" t="s">
        <v>107</v>
      </c>
      <c r="B23" s="15">
        <v>44084</v>
      </c>
      <c r="C23" s="8" t="s">
        <v>139</v>
      </c>
    </row>
    <row r="24" spans="1:3" x14ac:dyDescent="0.25">
      <c r="A24" s="12" t="s">
        <v>108</v>
      </c>
      <c r="B24" s="15">
        <v>44083</v>
      </c>
      <c r="C24" s="8" t="s">
        <v>144</v>
      </c>
    </row>
    <row r="25" spans="1:3" x14ac:dyDescent="0.25">
      <c r="A25" s="12" t="s">
        <v>109</v>
      </c>
      <c r="B25" s="15">
        <v>44080</v>
      </c>
      <c r="C25" s="8" t="s">
        <v>144</v>
      </c>
    </row>
    <row r="26" spans="1:3" x14ac:dyDescent="0.25">
      <c r="A26" s="12" t="s">
        <v>110</v>
      </c>
      <c r="B26" s="15">
        <v>44096</v>
      </c>
      <c r="C26" s="8" t="s">
        <v>144</v>
      </c>
    </row>
    <row r="27" spans="1:3" x14ac:dyDescent="0.25">
      <c r="A27" s="12" t="s">
        <v>111</v>
      </c>
      <c r="B27" s="15">
        <v>44101</v>
      </c>
      <c r="C27" s="8" t="s">
        <v>144</v>
      </c>
    </row>
    <row r="28" spans="1:3" x14ac:dyDescent="0.25">
      <c r="A28" s="12" t="s">
        <v>112</v>
      </c>
      <c r="B28" s="15">
        <v>44085</v>
      </c>
      <c r="C28" s="8" t="s">
        <v>140</v>
      </c>
    </row>
    <row r="29" spans="1:3" x14ac:dyDescent="0.25">
      <c r="A29" s="12" t="s">
        <v>113</v>
      </c>
      <c r="B29" s="15">
        <v>44090</v>
      </c>
      <c r="C29" s="8" t="s">
        <v>141</v>
      </c>
    </row>
    <row r="30" spans="1:3" x14ac:dyDescent="0.25">
      <c r="A30" s="12" t="s">
        <v>114</v>
      </c>
      <c r="B30" s="15">
        <v>44100</v>
      </c>
      <c r="C30" s="8" t="s">
        <v>142</v>
      </c>
    </row>
    <row r="31" spans="1:3" x14ac:dyDescent="0.25">
      <c r="A31" s="12" t="s">
        <v>115</v>
      </c>
      <c r="B31" s="15">
        <v>44103</v>
      </c>
      <c r="C31" s="8" t="s">
        <v>138</v>
      </c>
    </row>
    <row r="32" spans="1:3" x14ac:dyDescent="0.25">
      <c r="A32" s="12" t="s">
        <v>116</v>
      </c>
      <c r="B32" s="15">
        <v>44097</v>
      </c>
      <c r="C32" s="8" t="s">
        <v>139</v>
      </c>
    </row>
    <row r="33" spans="1:3" x14ac:dyDescent="0.25">
      <c r="A33" s="12" t="s">
        <v>117</v>
      </c>
      <c r="B33" s="15">
        <v>44080</v>
      </c>
      <c r="C33" s="8" t="s">
        <v>142</v>
      </c>
    </row>
    <row r="34" spans="1:3" x14ac:dyDescent="0.25">
      <c r="A34" s="12" t="s">
        <v>118</v>
      </c>
      <c r="B34" s="15">
        <v>44082</v>
      </c>
      <c r="C34" s="8" t="s">
        <v>145</v>
      </c>
    </row>
    <row r="35" spans="1:3" x14ac:dyDescent="0.25">
      <c r="A35" s="12" t="s">
        <v>119</v>
      </c>
      <c r="B35" s="15">
        <v>44101</v>
      </c>
      <c r="C35" s="8" t="s">
        <v>142</v>
      </c>
    </row>
    <row r="36" spans="1:3" x14ac:dyDescent="0.25">
      <c r="A36" s="12" t="s">
        <v>120</v>
      </c>
      <c r="B36" s="15">
        <v>44089</v>
      </c>
      <c r="C36" s="8" t="s">
        <v>140</v>
      </c>
    </row>
    <row r="37" spans="1:3" x14ac:dyDescent="0.25">
      <c r="A37" s="12" t="s">
        <v>121</v>
      </c>
      <c r="B37" s="15">
        <v>44085</v>
      </c>
      <c r="C37" s="8" t="s">
        <v>139</v>
      </c>
    </row>
    <row r="38" spans="1:3" x14ac:dyDescent="0.25">
      <c r="A38" s="12" t="s">
        <v>122</v>
      </c>
      <c r="B38" s="15">
        <v>44097</v>
      </c>
      <c r="C38" s="8" t="s">
        <v>141</v>
      </c>
    </row>
    <row r="39" spans="1:3" x14ac:dyDescent="0.25">
      <c r="A39" s="12" t="s">
        <v>123</v>
      </c>
      <c r="B39" s="15">
        <v>44104</v>
      </c>
      <c r="C39" s="8" t="s">
        <v>144</v>
      </c>
    </row>
    <row r="40" spans="1:3" x14ac:dyDescent="0.25">
      <c r="A40" s="12" t="s">
        <v>124</v>
      </c>
      <c r="B40" s="15">
        <v>44076</v>
      </c>
      <c r="C40" s="8" t="s">
        <v>143</v>
      </c>
    </row>
    <row r="41" spans="1:3" x14ac:dyDescent="0.25">
      <c r="A41" s="12" t="s">
        <v>125</v>
      </c>
      <c r="B41" s="15">
        <v>44080</v>
      </c>
      <c r="C41" s="8" t="s">
        <v>140</v>
      </c>
    </row>
    <row r="42" spans="1:3" x14ac:dyDescent="0.25">
      <c r="A42" s="12" t="s">
        <v>126</v>
      </c>
      <c r="B42" s="15">
        <v>44077</v>
      </c>
      <c r="C42" s="8" t="s">
        <v>138</v>
      </c>
    </row>
    <row r="43" spans="1:3" x14ac:dyDescent="0.25">
      <c r="A43" s="12" t="s">
        <v>127</v>
      </c>
      <c r="B43" s="15">
        <v>44085</v>
      </c>
      <c r="C43" s="8" t="s">
        <v>145</v>
      </c>
    </row>
    <row r="44" spans="1:3" x14ac:dyDescent="0.25">
      <c r="A44" s="12" t="s">
        <v>128</v>
      </c>
      <c r="B44" s="15">
        <v>44078</v>
      </c>
      <c r="C44" s="8" t="s">
        <v>142</v>
      </c>
    </row>
    <row r="45" spans="1:3" x14ac:dyDescent="0.25">
      <c r="A45" s="12" t="s">
        <v>129</v>
      </c>
      <c r="B45" s="15">
        <v>44086</v>
      </c>
      <c r="C45" s="8" t="s">
        <v>137</v>
      </c>
    </row>
    <row r="46" spans="1:3" x14ac:dyDescent="0.25">
      <c r="A46" s="12" t="s">
        <v>130</v>
      </c>
      <c r="B46" s="15">
        <v>44094</v>
      </c>
      <c r="C46" s="8" t="s">
        <v>137</v>
      </c>
    </row>
    <row r="47" spans="1:3" x14ac:dyDescent="0.25">
      <c r="A47" s="12" t="s">
        <v>131</v>
      </c>
      <c r="B47" s="15">
        <v>44087</v>
      </c>
      <c r="C47" s="8" t="s">
        <v>139</v>
      </c>
    </row>
    <row r="48" spans="1:3" x14ac:dyDescent="0.25">
      <c r="A48" s="12" t="s">
        <v>132</v>
      </c>
      <c r="B48" s="15">
        <v>44094</v>
      </c>
      <c r="C48" s="8" t="s">
        <v>143</v>
      </c>
    </row>
    <row r="49" spans="1:3" x14ac:dyDescent="0.25">
      <c r="A49" s="12" t="s">
        <v>133</v>
      </c>
      <c r="B49" s="15">
        <v>44086</v>
      </c>
      <c r="C49" s="8" t="s">
        <v>139</v>
      </c>
    </row>
    <row r="50" spans="1:3" x14ac:dyDescent="0.25">
      <c r="A50" s="12" t="s">
        <v>134</v>
      </c>
      <c r="B50" s="15">
        <v>44103</v>
      </c>
      <c r="C50" s="8" t="s">
        <v>141</v>
      </c>
    </row>
    <row r="51" spans="1:3" x14ac:dyDescent="0.25">
      <c r="A51" s="12" t="s">
        <v>135</v>
      </c>
      <c r="B51" s="15">
        <v>44096</v>
      </c>
      <c r="C51" s="8" t="s">
        <v>139</v>
      </c>
    </row>
  </sheetData>
  <pageMargins left="0.511811024" right="0.511811024" top="0.78740157499999996" bottom="0.78740157499999996" header="0.31496062000000002" footer="0.31496062000000002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assificarProtocolos">
                <anchor moveWithCells="1" sizeWithCells="1">
                  <from>
                    <xdr:col>5</xdr:col>
                    <xdr:colOff>590550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EDD1F-562B-4109-AD05-2564A9428AE9}">
  <sheetPr codeName="Sheet2">
    <tabColor rgb="FFFFFF00"/>
  </sheetPr>
  <dimension ref="A1:H100"/>
  <sheetViews>
    <sheetView workbookViewId="0">
      <selection activeCell="H6" sqref="H6"/>
    </sheetView>
  </sheetViews>
  <sheetFormatPr defaultRowHeight="15" x14ac:dyDescent="0.25"/>
  <cols>
    <col min="1" max="1" width="72.42578125" style="29" customWidth="1"/>
    <col min="2" max="2" width="9.140625" style="29"/>
    <col min="3" max="3" width="13.140625" style="29" bestFit="1" customWidth="1"/>
    <col min="4" max="6" width="9.140625" style="29"/>
    <col min="7" max="7" width="22.42578125" style="29" bestFit="1" customWidth="1"/>
    <col min="8" max="8" width="19" style="29" customWidth="1"/>
    <col min="9" max="16384" width="9.140625" style="29"/>
  </cols>
  <sheetData>
    <row r="1" spans="1:8" s="31" customFormat="1" ht="73.5" customHeight="1" thickBot="1" x14ac:dyDescent="0.3">
      <c r="A1" s="31" t="s">
        <v>184</v>
      </c>
    </row>
    <row r="2" spans="1:8" ht="15.75" thickBot="1" x14ac:dyDescent="0.3">
      <c r="A2" s="34" t="s">
        <v>197</v>
      </c>
    </row>
    <row r="5" spans="1:8" x14ac:dyDescent="0.25">
      <c r="A5" s="30" t="s">
        <v>185</v>
      </c>
      <c r="B5" s="30" t="s">
        <v>186</v>
      </c>
      <c r="C5" s="30" t="s">
        <v>194</v>
      </c>
      <c r="G5" s="33" t="s">
        <v>195</v>
      </c>
      <c r="H5" s="29" t="s">
        <v>204</v>
      </c>
    </row>
    <row r="6" spans="1:8" x14ac:dyDescent="0.25">
      <c r="A6" s="32">
        <v>44275</v>
      </c>
      <c r="B6" s="29" t="s">
        <v>187</v>
      </c>
      <c r="C6" s="29" t="s">
        <v>199</v>
      </c>
      <c r="G6" s="33" t="s">
        <v>196</v>
      </c>
      <c r="H6" s="29" t="s">
        <v>203</v>
      </c>
    </row>
    <row r="7" spans="1:8" x14ac:dyDescent="0.25">
      <c r="A7" s="32">
        <v>44270</v>
      </c>
      <c r="B7" s="29" t="s">
        <v>188</v>
      </c>
      <c r="C7" s="29" t="s">
        <v>200</v>
      </c>
    </row>
    <row r="8" spans="1:8" x14ac:dyDescent="0.25">
      <c r="A8" s="32">
        <v>44220</v>
      </c>
      <c r="B8" s="29" t="s">
        <v>189</v>
      </c>
      <c r="C8" s="29" t="s">
        <v>199</v>
      </c>
    </row>
    <row r="9" spans="1:8" x14ac:dyDescent="0.25">
      <c r="A9" s="32">
        <v>44242</v>
      </c>
      <c r="B9" s="29" t="s">
        <v>188</v>
      </c>
      <c r="C9" s="29" t="s">
        <v>200</v>
      </c>
    </row>
    <row r="10" spans="1:8" x14ac:dyDescent="0.25">
      <c r="A10" s="32">
        <v>44233</v>
      </c>
      <c r="B10" s="29" t="s">
        <v>187</v>
      </c>
      <c r="C10" s="29" t="s">
        <v>199</v>
      </c>
    </row>
    <row r="11" spans="1:8" x14ac:dyDescent="0.25">
      <c r="A11" s="32">
        <v>44229</v>
      </c>
      <c r="B11" s="29" t="s">
        <v>190</v>
      </c>
      <c r="C11" s="29" t="s">
        <v>201</v>
      </c>
    </row>
    <row r="12" spans="1:8" x14ac:dyDescent="0.25">
      <c r="A12" s="32">
        <v>44242</v>
      </c>
      <c r="B12" s="29" t="s">
        <v>188</v>
      </c>
      <c r="C12" s="29" t="s">
        <v>200</v>
      </c>
    </row>
    <row r="13" spans="1:8" x14ac:dyDescent="0.25">
      <c r="A13" s="32">
        <v>44249</v>
      </c>
      <c r="B13" s="29" t="s">
        <v>188</v>
      </c>
      <c r="C13" s="29" t="s">
        <v>200</v>
      </c>
    </row>
    <row r="14" spans="1:8" x14ac:dyDescent="0.25">
      <c r="A14" s="32">
        <v>44205</v>
      </c>
      <c r="B14" s="29" t="s">
        <v>187</v>
      </c>
      <c r="C14" s="29" t="s">
        <v>199</v>
      </c>
    </row>
    <row r="15" spans="1:8" x14ac:dyDescent="0.25">
      <c r="A15" s="32">
        <v>44225</v>
      </c>
      <c r="B15" s="29" t="s">
        <v>191</v>
      </c>
      <c r="C15" s="29" t="s">
        <v>202</v>
      </c>
    </row>
    <row r="16" spans="1:8" x14ac:dyDescent="0.25">
      <c r="A16" s="32">
        <v>44209</v>
      </c>
      <c r="B16" s="29" t="s">
        <v>192</v>
      </c>
      <c r="C16" s="29" t="s">
        <v>198</v>
      </c>
    </row>
    <row r="17" spans="1:3" x14ac:dyDescent="0.25">
      <c r="A17" s="32">
        <v>44222</v>
      </c>
      <c r="B17" s="29" t="s">
        <v>190</v>
      </c>
      <c r="C17" s="29" t="s">
        <v>201</v>
      </c>
    </row>
    <row r="18" spans="1:3" x14ac:dyDescent="0.25">
      <c r="A18" s="32">
        <v>44246</v>
      </c>
      <c r="B18" s="29" t="s">
        <v>191</v>
      </c>
      <c r="C18" s="29" t="s">
        <v>202</v>
      </c>
    </row>
    <row r="19" spans="1:3" x14ac:dyDescent="0.25">
      <c r="A19" s="32">
        <v>44235</v>
      </c>
      <c r="B19" s="29" t="s">
        <v>188</v>
      </c>
      <c r="C19" s="29" t="s">
        <v>200</v>
      </c>
    </row>
    <row r="20" spans="1:3" x14ac:dyDescent="0.25">
      <c r="A20" s="32">
        <v>44275</v>
      </c>
      <c r="B20" s="29" t="s">
        <v>187</v>
      </c>
      <c r="C20" s="29" t="s">
        <v>199</v>
      </c>
    </row>
    <row r="21" spans="1:3" x14ac:dyDescent="0.25">
      <c r="A21" s="32">
        <v>44261</v>
      </c>
      <c r="B21" s="29" t="s">
        <v>187</v>
      </c>
      <c r="C21" s="29" t="s">
        <v>199</v>
      </c>
    </row>
    <row r="22" spans="1:3" x14ac:dyDescent="0.25">
      <c r="A22" s="32">
        <v>44257</v>
      </c>
      <c r="B22" s="29" t="s">
        <v>190</v>
      </c>
      <c r="C22" s="29" t="s">
        <v>201</v>
      </c>
    </row>
    <row r="23" spans="1:3" x14ac:dyDescent="0.25">
      <c r="A23" s="32">
        <v>44232</v>
      </c>
      <c r="B23" s="29" t="s">
        <v>191</v>
      </c>
      <c r="C23" s="29" t="s">
        <v>202</v>
      </c>
    </row>
    <row r="24" spans="1:3" x14ac:dyDescent="0.25">
      <c r="A24" s="32">
        <v>44278</v>
      </c>
      <c r="B24" s="29" t="s">
        <v>190</v>
      </c>
      <c r="C24" s="29" t="s">
        <v>201</v>
      </c>
    </row>
    <row r="25" spans="1:3" x14ac:dyDescent="0.25">
      <c r="A25" s="32">
        <v>44260</v>
      </c>
      <c r="B25" s="29" t="s">
        <v>191</v>
      </c>
      <c r="C25" s="29" t="s">
        <v>202</v>
      </c>
    </row>
    <row r="26" spans="1:3" x14ac:dyDescent="0.25">
      <c r="A26" s="32">
        <v>44203</v>
      </c>
      <c r="B26" s="29" t="s">
        <v>193</v>
      </c>
      <c r="C26" s="29" t="s">
        <v>204</v>
      </c>
    </row>
    <row r="27" spans="1:3" x14ac:dyDescent="0.25">
      <c r="A27" s="32">
        <v>44204</v>
      </c>
      <c r="B27" s="29" t="s">
        <v>191</v>
      </c>
      <c r="C27" s="29" t="s">
        <v>202</v>
      </c>
    </row>
    <row r="28" spans="1:3" x14ac:dyDescent="0.25">
      <c r="A28" s="32">
        <v>44221</v>
      </c>
      <c r="B28" s="29" t="s">
        <v>188</v>
      </c>
      <c r="C28" s="29" t="s">
        <v>200</v>
      </c>
    </row>
    <row r="29" spans="1:3" x14ac:dyDescent="0.25">
      <c r="A29" s="32">
        <v>44225</v>
      </c>
      <c r="B29" s="29" t="s">
        <v>191</v>
      </c>
      <c r="C29" s="29" t="s">
        <v>202</v>
      </c>
    </row>
    <row r="30" spans="1:3" x14ac:dyDescent="0.25">
      <c r="A30" s="32">
        <v>44216</v>
      </c>
      <c r="B30" s="29" t="s">
        <v>192</v>
      </c>
      <c r="C30" s="29" t="s">
        <v>198</v>
      </c>
    </row>
    <row r="31" spans="1:3" x14ac:dyDescent="0.25">
      <c r="A31" s="32">
        <v>44240</v>
      </c>
      <c r="B31" s="29" t="s">
        <v>187</v>
      </c>
      <c r="C31" s="29" t="s">
        <v>199</v>
      </c>
    </row>
    <row r="32" spans="1:3" x14ac:dyDescent="0.25">
      <c r="A32" s="32">
        <v>44252</v>
      </c>
      <c r="B32" s="29" t="s">
        <v>193</v>
      </c>
      <c r="C32" s="29" t="s">
        <v>204</v>
      </c>
    </row>
    <row r="33" spans="1:3" x14ac:dyDescent="0.25">
      <c r="A33" s="32">
        <v>44213</v>
      </c>
      <c r="B33" s="29" t="s">
        <v>189</v>
      </c>
      <c r="C33" s="29" t="s">
        <v>199</v>
      </c>
    </row>
    <row r="34" spans="1:3" x14ac:dyDescent="0.25">
      <c r="A34" s="32">
        <v>44207</v>
      </c>
      <c r="B34" s="29" t="s">
        <v>188</v>
      </c>
      <c r="C34" s="29" t="s">
        <v>200</v>
      </c>
    </row>
    <row r="35" spans="1:3" x14ac:dyDescent="0.25">
      <c r="A35" s="32">
        <v>44265</v>
      </c>
      <c r="B35" s="29" t="s">
        <v>192</v>
      </c>
      <c r="C35" s="29" t="s">
        <v>198</v>
      </c>
    </row>
    <row r="36" spans="1:3" x14ac:dyDescent="0.25">
      <c r="A36" s="32">
        <v>44200</v>
      </c>
      <c r="B36" s="29" t="s">
        <v>188</v>
      </c>
      <c r="C36" s="29" t="s">
        <v>200</v>
      </c>
    </row>
    <row r="37" spans="1:3" x14ac:dyDescent="0.25">
      <c r="A37" s="32">
        <v>44209</v>
      </c>
      <c r="B37" s="29" t="s">
        <v>192</v>
      </c>
      <c r="C37" s="29" t="s">
        <v>198</v>
      </c>
    </row>
    <row r="38" spans="1:3" x14ac:dyDescent="0.25">
      <c r="A38" s="32">
        <v>44267</v>
      </c>
      <c r="B38" s="29" t="s">
        <v>191</v>
      </c>
      <c r="C38" s="29" t="s">
        <v>202</v>
      </c>
    </row>
    <row r="39" spans="1:3" x14ac:dyDescent="0.25">
      <c r="A39" s="32">
        <v>44267</v>
      </c>
      <c r="B39" s="29" t="s">
        <v>191</v>
      </c>
      <c r="C39" s="29" t="s">
        <v>202</v>
      </c>
    </row>
    <row r="40" spans="1:3" x14ac:dyDescent="0.25">
      <c r="A40" s="32">
        <v>44275</v>
      </c>
      <c r="B40" s="29" t="s">
        <v>187</v>
      </c>
      <c r="C40" s="29" t="s">
        <v>199</v>
      </c>
    </row>
    <row r="41" spans="1:3" x14ac:dyDescent="0.25">
      <c r="A41" s="32">
        <v>44259</v>
      </c>
      <c r="B41" s="29" t="s">
        <v>193</v>
      </c>
      <c r="C41" s="29" t="s">
        <v>204</v>
      </c>
    </row>
    <row r="42" spans="1:3" x14ac:dyDescent="0.25">
      <c r="A42" s="32">
        <v>44223</v>
      </c>
      <c r="B42" s="29" t="s">
        <v>192</v>
      </c>
      <c r="C42" s="29" t="s">
        <v>198</v>
      </c>
    </row>
    <row r="43" spans="1:3" x14ac:dyDescent="0.25">
      <c r="A43" s="32">
        <v>44264</v>
      </c>
      <c r="B43" s="29" t="s">
        <v>190</v>
      </c>
      <c r="C43" s="29" t="s">
        <v>201</v>
      </c>
    </row>
    <row r="44" spans="1:3" x14ac:dyDescent="0.25">
      <c r="A44" s="32">
        <v>44282</v>
      </c>
      <c r="B44" s="29" t="s">
        <v>187</v>
      </c>
      <c r="C44" s="29" t="s">
        <v>199</v>
      </c>
    </row>
    <row r="45" spans="1:3" x14ac:dyDescent="0.25">
      <c r="A45" s="32">
        <v>44276</v>
      </c>
      <c r="B45" s="29" t="s">
        <v>189</v>
      </c>
      <c r="C45" s="29" t="s">
        <v>199</v>
      </c>
    </row>
    <row r="46" spans="1:3" x14ac:dyDescent="0.25">
      <c r="A46" s="32">
        <v>44253</v>
      </c>
      <c r="B46" s="29" t="s">
        <v>191</v>
      </c>
      <c r="C46" s="29" t="s">
        <v>202</v>
      </c>
    </row>
    <row r="47" spans="1:3" x14ac:dyDescent="0.25">
      <c r="A47" s="32">
        <v>44273</v>
      </c>
      <c r="B47" s="29" t="s">
        <v>193</v>
      </c>
      <c r="C47" s="29" t="s">
        <v>204</v>
      </c>
    </row>
    <row r="48" spans="1:3" x14ac:dyDescent="0.25">
      <c r="A48" s="32">
        <v>44218</v>
      </c>
      <c r="B48" s="29" t="s">
        <v>191</v>
      </c>
      <c r="C48" s="29" t="s">
        <v>202</v>
      </c>
    </row>
    <row r="49" spans="1:3" x14ac:dyDescent="0.25">
      <c r="A49" s="32">
        <v>44280</v>
      </c>
      <c r="B49" s="29" t="s">
        <v>193</v>
      </c>
      <c r="C49" s="29" t="s">
        <v>204</v>
      </c>
    </row>
    <row r="50" spans="1:3" x14ac:dyDescent="0.25">
      <c r="A50" s="32">
        <v>44200</v>
      </c>
      <c r="B50" s="29" t="s">
        <v>188</v>
      </c>
      <c r="C50" s="29" t="s">
        <v>200</v>
      </c>
    </row>
    <row r="51" spans="1:3" x14ac:dyDescent="0.25">
      <c r="A51" s="32">
        <v>44230</v>
      </c>
      <c r="B51" s="29" t="s">
        <v>192</v>
      </c>
      <c r="C51" s="29" t="s">
        <v>198</v>
      </c>
    </row>
    <row r="52" spans="1:3" x14ac:dyDescent="0.25">
      <c r="A52" s="32">
        <v>44251</v>
      </c>
      <c r="B52" s="29" t="s">
        <v>192</v>
      </c>
      <c r="C52" s="29" t="s">
        <v>198</v>
      </c>
    </row>
    <row r="53" spans="1:3" x14ac:dyDescent="0.25">
      <c r="A53" s="32">
        <v>44267</v>
      </c>
      <c r="B53" s="29" t="s">
        <v>191</v>
      </c>
      <c r="C53" s="29" t="s">
        <v>202</v>
      </c>
    </row>
    <row r="54" spans="1:3" x14ac:dyDescent="0.25">
      <c r="A54" s="32">
        <v>44253</v>
      </c>
      <c r="B54" s="29" t="s">
        <v>191</v>
      </c>
      <c r="C54" s="29" t="s">
        <v>202</v>
      </c>
    </row>
    <row r="55" spans="1:3" x14ac:dyDescent="0.25">
      <c r="A55" s="32">
        <v>44269</v>
      </c>
      <c r="B55" s="29" t="s">
        <v>189</v>
      </c>
      <c r="C55" s="29" t="s">
        <v>199</v>
      </c>
    </row>
    <row r="56" spans="1:3" x14ac:dyDescent="0.25">
      <c r="A56" s="32">
        <v>44207</v>
      </c>
      <c r="B56" s="29" t="s">
        <v>188</v>
      </c>
      <c r="C56" s="29" t="s">
        <v>200</v>
      </c>
    </row>
    <row r="57" spans="1:3" x14ac:dyDescent="0.25">
      <c r="A57" s="32">
        <v>44245</v>
      </c>
      <c r="B57" s="29" t="s">
        <v>193</v>
      </c>
      <c r="C57" s="29" t="s">
        <v>204</v>
      </c>
    </row>
    <row r="58" spans="1:3" x14ac:dyDescent="0.25">
      <c r="A58" s="32">
        <v>44248</v>
      </c>
      <c r="B58" s="29" t="s">
        <v>189</v>
      </c>
      <c r="C58" s="29" t="s">
        <v>199</v>
      </c>
    </row>
    <row r="59" spans="1:3" x14ac:dyDescent="0.25">
      <c r="A59" s="32">
        <v>44274</v>
      </c>
      <c r="B59" s="29" t="s">
        <v>191</v>
      </c>
      <c r="C59" s="29" t="s">
        <v>202</v>
      </c>
    </row>
    <row r="60" spans="1:3" x14ac:dyDescent="0.25">
      <c r="A60" s="32">
        <v>44265</v>
      </c>
      <c r="B60" s="29" t="s">
        <v>192</v>
      </c>
      <c r="C60" s="29" t="s">
        <v>198</v>
      </c>
    </row>
    <row r="61" spans="1:3" x14ac:dyDescent="0.25">
      <c r="A61" s="32">
        <v>44216</v>
      </c>
      <c r="B61" s="29" t="s">
        <v>192</v>
      </c>
      <c r="C61" s="29" t="s">
        <v>198</v>
      </c>
    </row>
    <row r="62" spans="1:3" x14ac:dyDescent="0.25">
      <c r="A62" s="32">
        <v>44202</v>
      </c>
      <c r="B62" s="29" t="s">
        <v>192</v>
      </c>
      <c r="C62" s="29" t="s">
        <v>198</v>
      </c>
    </row>
    <row r="63" spans="1:3" x14ac:dyDescent="0.25">
      <c r="A63" s="32">
        <v>44215</v>
      </c>
      <c r="B63" s="29" t="s">
        <v>190</v>
      </c>
      <c r="C63" s="29" t="s">
        <v>201</v>
      </c>
    </row>
    <row r="64" spans="1:3" x14ac:dyDescent="0.25">
      <c r="A64" s="32">
        <v>44203</v>
      </c>
      <c r="B64" s="29" t="s">
        <v>193</v>
      </c>
      <c r="C64" s="29" t="s">
        <v>204</v>
      </c>
    </row>
    <row r="65" spans="1:3" x14ac:dyDescent="0.25">
      <c r="A65" s="32">
        <v>44220</v>
      </c>
      <c r="B65" s="29" t="s">
        <v>189</v>
      </c>
      <c r="C65" s="29" t="s">
        <v>199</v>
      </c>
    </row>
    <row r="66" spans="1:3" x14ac:dyDescent="0.25">
      <c r="A66" s="32">
        <v>44224</v>
      </c>
      <c r="B66" s="29" t="s">
        <v>193</v>
      </c>
      <c r="C66" s="29" t="s">
        <v>204</v>
      </c>
    </row>
    <row r="67" spans="1:3" x14ac:dyDescent="0.25">
      <c r="A67" s="32">
        <v>44235</v>
      </c>
      <c r="B67" s="29" t="s">
        <v>188</v>
      </c>
      <c r="C67" s="29" t="s">
        <v>200</v>
      </c>
    </row>
    <row r="68" spans="1:3" x14ac:dyDescent="0.25">
      <c r="A68" s="32">
        <v>44211</v>
      </c>
      <c r="B68" s="29" t="s">
        <v>191</v>
      </c>
      <c r="C68" s="29" t="s">
        <v>202</v>
      </c>
    </row>
    <row r="69" spans="1:3" x14ac:dyDescent="0.25">
      <c r="A69" s="32">
        <v>44230</v>
      </c>
      <c r="B69" s="29" t="s">
        <v>192</v>
      </c>
      <c r="C69" s="29" t="s">
        <v>198</v>
      </c>
    </row>
    <row r="70" spans="1:3" x14ac:dyDescent="0.25">
      <c r="A70" s="32">
        <v>44197</v>
      </c>
      <c r="B70" s="29" t="s">
        <v>191</v>
      </c>
      <c r="C70" s="29" t="s">
        <v>202</v>
      </c>
    </row>
    <row r="71" spans="1:3" x14ac:dyDescent="0.25">
      <c r="A71" s="32">
        <v>44229</v>
      </c>
      <c r="B71" s="29" t="s">
        <v>190</v>
      </c>
      <c r="C71" s="29" t="s">
        <v>201</v>
      </c>
    </row>
    <row r="72" spans="1:3" x14ac:dyDescent="0.25">
      <c r="A72" s="32">
        <v>44197</v>
      </c>
      <c r="B72" s="29" t="s">
        <v>191</v>
      </c>
      <c r="C72" s="29" t="s">
        <v>202</v>
      </c>
    </row>
    <row r="73" spans="1:3" x14ac:dyDescent="0.25">
      <c r="A73" s="32">
        <v>44268</v>
      </c>
      <c r="B73" s="29" t="s">
        <v>187</v>
      </c>
      <c r="C73" s="29" t="s">
        <v>199</v>
      </c>
    </row>
    <row r="74" spans="1:3" x14ac:dyDescent="0.25">
      <c r="A74" s="32">
        <v>44198</v>
      </c>
      <c r="B74" s="29" t="s">
        <v>187</v>
      </c>
      <c r="C74" s="29" t="s">
        <v>199</v>
      </c>
    </row>
    <row r="75" spans="1:3" x14ac:dyDescent="0.25">
      <c r="A75" s="32">
        <v>44270</v>
      </c>
      <c r="B75" s="29" t="s">
        <v>188</v>
      </c>
      <c r="C75" s="29" t="s">
        <v>200</v>
      </c>
    </row>
    <row r="76" spans="1:3" x14ac:dyDescent="0.25">
      <c r="A76" s="32">
        <v>44213</v>
      </c>
      <c r="B76" s="29" t="s">
        <v>189</v>
      </c>
      <c r="C76" s="29" t="s">
        <v>199</v>
      </c>
    </row>
    <row r="77" spans="1:3" x14ac:dyDescent="0.25">
      <c r="A77" s="32">
        <v>44201</v>
      </c>
      <c r="B77" s="29" t="s">
        <v>190</v>
      </c>
      <c r="C77" s="29" t="s">
        <v>201</v>
      </c>
    </row>
    <row r="78" spans="1:3" x14ac:dyDescent="0.25">
      <c r="A78" s="32">
        <v>44220</v>
      </c>
      <c r="B78" s="29" t="s">
        <v>189</v>
      </c>
      <c r="C78" s="29" t="s">
        <v>199</v>
      </c>
    </row>
    <row r="79" spans="1:3" x14ac:dyDescent="0.25">
      <c r="A79" s="32">
        <v>44223</v>
      </c>
      <c r="B79" s="29" t="s">
        <v>192</v>
      </c>
      <c r="C79" s="29" t="s">
        <v>198</v>
      </c>
    </row>
    <row r="80" spans="1:3" x14ac:dyDescent="0.25">
      <c r="A80" s="32">
        <v>44250</v>
      </c>
      <c r="B80" s="29" t="s">
        <v>190</v>
      </c>
      <c r="C80" s="29" t="s">
        <v>201</v>
      </c>
    </row>
    <row r="81" spans="1:3" x14ac:dyDescent="0.25">
      <c r="A81" s="32">
        <v>44245</v>
      </c>
      <c r="B81" s="29" t="s">
        <v>193</v>
      </c>
      <c r="C81" s="29" t="s">
        <v>204</v>
      </c>
    </row>
    <row r="82" spans="1:3" x14ac:dyDescent="0.25">
      <c r="A82" s="32">
        <v>44248</v>
      </c>
      <c r="B82" s="29" t="s">
        <v>189</v>
      </c>
      <c r="C82" s="29" t="s">
        <v>199</v>
      </c>
    </row>
    <row r="83" spans="1:3" x14ac:dyDescent="0.25">
      <c r="A83" s="32">
        <v>44279</v>
      </c>
      <c r="B83" s="29" t="s">
        <v>192</v>
      </c>
      <c r="C83" s="29" t="s">
        <v>198</v>
      </c>
    </row>
    <row r="84" spans="1:3" x14ac:dyDescent="0.25">
      <c r="A84" s="32">
        <v>44281</v>
      </c>
      <c r="B84" s="29" t="s">
        <v>191</v>
      </c>
      <c r="C84" s="29" t="s">
        <v>202</v>
      </c>
    </row>
    <row r="85" spans="1:3" x14ac:dyDescent="0.25">
      <c r="A85" s="32">
        <v>44266</v>
      </c>
      <c r="B85" s="29" t="s">
        <v>193</v>
      </c>
      <c r="C85" s="29" t="s">
        <v>204</v>
      </c>
    </row>
    <row r="86" spans="1:3" x14ac:dyDescent="0.25">
      <c r="A86" s="32">
        <v>44240</v>
      </c>
      <c r="B86" s="29" t="s">
        <v>187</v>
      </c>
      <c r="C86" s="29" t="s">
        <v>199</v>
      </c>
    </row>
    <row r="87" spans="1:3" x14ac:dyDescent="0.25">
      <c r="A87" s="32">
        <v>44220</v>
      </c>
      <c r="B87" s="29" t="s">
        <v>189</v>
      </c>
      <c r="C87" s="29" t="s">
        <v>199</v>
      </c>
    </row>
    <row r="88" spans="1:3" x14ac:dyDescent="0.25">
      <c r="A88" s="32">
        <v>44269</v>
      </c>
      <c r="B88" s="29" t="s">
        <v>189</v>
      </c>
      <c r="C88" s="29" t="s">
        <v>199</v>
      </c>
    </row>
    <row r="89" spans="1:3" x14ac:dyDescent="0.25">
      <c r="A89" s="32">
        <v>44221</v>
      </c>
      <c r="B89" s="29" t="s">
        <v>188</v>
      </c>
      <c r="C89" s="29" t="s">
        <v>200</v>
      </c>
    </row>
    <row r="90" spans="1:3" x14ac:dyDescent="0.25">
      <c r="A90" s="32">
        <v>44261</v>
      </c>
      <c r="B90" s="29" t="s">
        <v>187</v>
      </c>
      <c r="C90" s="29" t="s">
        <v>199</v>
      </c>
    </row>
    <row r="91" spans="1:3" x14ac:dyDescent="0.25">
      <c r="A91" s="32">
        <v>44260</v>
      </c>
      <c r="B91" s="29" t="s">
        <v>191</v>
      </c>
      <c r="C91" s="29" t="s">
        <v>202</v>
      </c>
    </row>
    <row r="92" spans="1:3" x14ac:dyDescent="0.25">
      <c r="A92" s="32">
        <v>44223</v>
      </c>
      <c r="B92" s="29" t="s">
        <v>192</v>
      </c>
      <c r="C92" s="29" t="s">
        <v>198</v>
      </c>
    </row>
    <row r="93" spans="1:3" x14ac:dyDescent="0.25">
      <c r="A93" s="32">
        <v>44228</v>
      </c>
      <c r="B93" s="29" t="s">
        <v>188</v>
      </c>
      <c r="C93" s="29" t="s">
        <v>200</v>
      </c>
    </row>
    <row r="94" spans="1:3" x14ac:dyDescent="0.25">
      <c r="A94" s="32">
        <v>44248</v>
      </c>
      <c r="B94" s="29" t="s">
        <v>189</v>
      </c>
      <c r="C94" s="29" t="s">
        <v>199</v>
      </c>
    </row>
    <row r="95" spans="1:3" x14ac:dyDescent="0.25">
      <c r="A95" s="32">
        <v>44279</v>
      </c>
      <c r="B95" s="29" t="s">
        <v>192</v>
      </c>
      <c r="C95" s="29" t="s">
        <v>198</v>
      </c>
    </row>
    <row r="96" spans="1:3" x14ac:dyDescent="0.25">
      <c r="A96" s="32">
        <v>44228</v>
      </c>
      <c r="B96" s="29" t="s">
        <v>188</v>
      </c>
      <c r="C96" s="29" t="s">
        <v>200</v>
      </c>
    </row>
    <row r="97" spans="1:3" x14ac:dyDescent="0.25">
      <c r="A97" s="32">
        <v>44268</v>
      </c>
      <c r="B97" s="29" t="s">
        <v>187</v>
      </c>
      <c r="C97" s="29" t="s">
        <v>199</v>
      </c>
    </row>
    <row r="98" spans="1:3" x14ac:dyDescent="0.25">
      <c r="A98" s="32">
        <v>44205</v>
      </c>
      <c r="B98" s="29" t="s">
        <v>187</v>
      </c>
      <c r="C98" s="29" t="s">
        <v>199</v>
      </c>
    </row>
    <row r="99" spans="1:3" x14ac:dyDescent="0.25">
      <c r="A99" s="32">
        <v>44212</v>
      </c>
      <c r="B99" s="29" t="s">
        <v>187</v>
      </c>
      <c r="C99" s="29" t="s">
        <v>199</v>
      </c>
    </row>
    <row r="100" spans="1:3" x14ac:dyDescent="0.25">
      <c r="A100" s="32">
        <v>44227</v>
      </c>
      <c r="B100" s="29" t="s">
        <v>189</v>
      </c>
      <c r="C100" s="29" t="s">
        <v>199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Exercicio1">
                <anchor moveWithCells="1" sizeWithCells="1">
                  <from>
                    <xdr:col>3</xdr:col>
                    <xdr:colOff>600075</xdr:colOff>
                    <xdr:row>3</xdr:row>
                    <xdr:rowOff>180975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3FF1A-FEE0-4389-B7CF-3055ED0CD546}">
  <sheetPr codeName="Planilha31"/>
  <dimension ref="A1:J24"/>
  <sheetViews>
    <sheetView tabSelected="1" zoomScale="110" zoomScaleNormal="110" workbookViewId="0">
      <selection activeCell="A10" sqref="A10"/>
    </sheetView>
  </sheetViews>
  <sheetFormatPr defaultRowHeight="12.75" x14ac:dyDescent="0.2"/>
  <cols>
    <col min="1" max="1" width="18.7109375" style="22" customWidth="1"/>
    <col min="2" max="2" width="13" style="22" customWidth="1"/>
    <col min="3" max="3" width="23.28515625" style="22" bestFit="1" customWidth="1"/>
    <col min="4" max="4" width="16.42578125" style="22" customWidth="1"/>
    <col min="5" max="5" width="12.28515625" style="22" bestFit="1" customWidth="1"/>
    <col min="6" max="6" width="14.42578125" style="22" bestFit="1" customWidth="1"/>
    <col min="7" max="7" width="12" style="22" bestFit="1" customWidth="1"/>
    <col min="8" max="8" width="13.42578125" style="22" bestFit="1" customWidth="1"/>
    <col min="9" max="9" width="97" style="22" bestFit="1" customWidth="1"/>
    <col min="10" max="10" width="12.5703125" style="22" bestFit="1" customWidth="1"/>
    <col min="11" max="16384" width="9.140625" style="22"/>
  </cols>
  <sheetData>
    <row r="1" spans="1:10" ht="30" customHeight="1" x14ac:dyDescent="0.2"/>
    <row r="2" spans="1:10" s="20" customFormat="1" ht="30" customHeight="1" x14ac:dyDescent="0.25">
      <c r="A2" s="19" t="s">
        <v>147</v>
      </c>
      <c r="B2" s="19" t="s">
        <v>148</v>
      </c>
      <c r="C2" s="19" t="s">
        <v>149</v>
      </c>
      <c r="D2" s="19" t="s">
        <v>150</v>
      </c>
      <c r="E2" s="19" t="s">
        <v>151</v>
      </c>
      <c r="F2" s="19" t="s">
        <v>152</v>
      </c>
      <c r="G2" s="19" t="s">
        <v>153</v>
      </c>
      <c r="H2" s="19" t="s">
        <v>154</v>
      </c>
      <c r="I2" s="19" t="s">
        <v>155</v>
      </c>
      <c r="J2" s="19" t="s">
        <v>156</v>
      </c>
    </row>
    <row r="3" spans="1:10" x14ac:dyDescent="0.2">
      <c r="A3" s="21">
        <v>44282</v>
      </c>
      <c r="C3" s="22" t="s">
        <v>205</v>
      </c>
      <c r="D3" s="21">
        <v>43862</v>
      </c>
      <c r="E3" s="23">
        <v>365459.16</v>
      </c>
      <c r="F3" s="22">
        <v>38</v>
      </c>
      <c r="G3" s="35">
        <v>0</v>
      </c>
      <c r="H3" s="23">
        <v>0</v>
      </c>
      <c r="I3" s="22" t="s">
        <v>206</v>
      </c>
      <c r="J3" s="23">
        <v>9113.52</v>
      </c>
    </row>
    <row r="4" spans="1:10" x14ac:dyDescent="0.2">
      <c r="A4" s="21">
        <v>44282</v>
      </c>
      <c r="C4" s="22" t="s">
        <v>205</v>
      </c>
      <c r="D4" s="21">
        <v>43862</v>
      </c>
      <c r="E4" s="23">
        <v>365459.16</v>
      </c>
      <c r="F4" s="22">
        <v>38</v>
      </c>
      <c r="G4" s="35">
        <v>0</v>
      </c>
      <c r="H4" s="23">
        <v>0</v>
      </c>
      <c r="I4" s="22" t="s">
        <v>207</v>
      </c>
      <c r="J4" s="23">
        <v>0</v>
      </c>
    </row>
    <row r="5" spans="1:10" x14ac:dyDescent="0.2">
      <c r="A5" s="21">
        <v>44282</v>
      </c>
      <c r="C5" s="22" t="s">
        <v>205</v>
      </c>
      <c r="D5" s="21">
        <v>43862</v>
      </c>
      <c r="E5" s="23">
        <v>365459.16</v>
      </c>
      <c r="F5" s="22">
        <v>38</v>
      </c>
      <c r="G5" s="35">
        <v>0</v>
      </c>
      <c r="H5" s="23">
        <v>0</v>
      </c>
      <c r="I5" s="22" t="s">
        <v>208</v>
      </c>
      <c r="J5" s="23">
        <v>4702.6000000000004</v>
      </c>
    </row>
    <row r="6" spans="1:10" x14ac:dyDescent="0.2">
      <c r="A6" s="21">
        <v>44282</v>
      </c>
      <c r="C6" s="22" t="s">
        <v>205</v>
      </c>
      <c r="D6" s="21">
        <v>43862</v>
      </c>
      <c r="E6" s="23">
        <v>365459.16</v>
      </c>
      <c r="F6" s="22">
        <v>38</v>
      </c>
      <c r="G6" s="35">
        <v>0</v>
      </c>
      <c r="H6" s="23">
        <v>0</v>
      </c>
      <c r="I6" s="22" t="s">
        <v>209</v>
      </c>
      <c r="J6" s="23">
        <v>3161.13</v>
      </c>
    </row>
    <row r="7" spans="1:10" x14ac:dyDescent="0.2">
      <c r="A7" s="21">
        <v>44282</v>
      </c>
      <c r="C7" s="22" t="s">
        <v>205</v>
      </c>
      <c r="D7" s="21">
        <v>43862</v>
      </c>
      <c r="E7" s="23">
        <v>365459.16</v>
      </c>
      <c r="F7" s="22">
        <v>38</v>
      </c>
      <c r="G7" s="35">
        <v>0</v>
      </c>
      <c r="H7" s="23">
        <v>0</v>
      </c>
      <c r="I7" s="22" t="s">
        <v>210</v>
      </c>
      <c r="J7" s="23">
        <v>500</v>
      </c>
    </row>
    <row r="8" spans="1:10" x14ac:dyDescent="0.2">
      <c r="A8" s="21">
        <v>44282</v>
      </c>
      <c r="C8" s="22" t="s">
        <v>205</v>
      </c>
      <c r="D8" s="21">
        <v>43862</v>
      </c>
      <c r="E8" s="23">
        <v>365459.16</v>
      </c>
      <c r="F8" s="22">
        <v>38</v>
      </c>
      <c r="G8" s="35">
        <v>0</v>
      </c>
      <c r="H8" s="23">
        <v>0</v>
      </c>
      <c r="I8" s="22" t="s">
        <v>211</v>
      </c>
      <c r="J8" s="23">
        <v>402.01</v>
      </c>
    </row>
    <row r="9" spans="1:10" x14ac:dyDescent="0.2">
      <c r="A9" s="21">
        <v>44282</v>
      </c>
      <c r="C9" s="22" t="s">
        <v>205</v>
      </c>
      <c r="D9" s="21">
        <v>43862</v>
      </c>
      <c r="E9" s="23">
        <v>365459.16</v>
      </c>
      <c r="F9" s="22">
        <v>38</v>
      </c>
      <c r="G9" s="35">
        <v>0</v>
      </c>
      <c r="H9" s="23">
        <v>0</v>
      </c>
      <c r="I9" s="22" t="s">
        <v>213</v>
      </c>
      <c r="J9" s="23">
        <v>2119.66</v>
      </c>
    </row>
    <row r="10" spans="1:10" x14ac:dyDescent="0.2">
      <c r="A10" s="21">
        <v>44282</v>
      </c>
      <c r="C10" s="22" t="s">
        <v>205</v>
      </c>
      <c r="D10" s="21">
        <v>43862</v>
      </c>
      <c r="E10" s="23">
        <v>365459.16</v>
      </c>
      <c r="F10" s="22">
        <v>38</v>
      </c>
      <c r="G10" s="35">
        <v>0</v>
      </c>
      <c r="H10" s="23">
        <v>0</v>
      </c>
      <c r="I10" s="22" t="s">
        <v>212</v>
      </c>
      <c r="J10" s="23">
        <v>-9515.5300000000007</v>
      </c>
    </row>
    <row r="11" spans="1:10" x14ac:dyDescent="0.2">
      <c r="A11" s="21"/>
      <c r="E11" s="23"/>
      <c r="G11" s="21"/>
      <c r="H11" s="23"/>
      <c r="J11" s="23"/>
    </row>
    <row r="12" spans="1:10" x14ac:dyDescent="0.2">
      <c r="A12" s="21"/>
      <c r="J12" s="23"/>
    </row>
    <row r="13" spans="1:10" x14ac:dyDescent="0.2">
      <c r="A13" s="21"/>
      <c r="J13" s="23"/>
    </row>
    <row r="14" spans="1:10" x14ac:dyDescent="0.2">
      <c r="A14" s="21"/>
      <c r="J14" s="23"/>
    </row>
    <row r="15" spans="1:10" x14ac:dyDescent="0.2">
      <c r="A15" s="21"/>
      <c r="J15" s="23"/>
    </row>
    <row r="16" spans="1:10" x14ac:dyDescent="0.2">
      <c r="A16" s="21"/>
      <c r="J16" s="23"/>
    </row>
    <row r="17" spans="1:10" x14ac:dyDescent="0.2">
      <c r="A17" s="21"/>
      <c r="J17" s="23"/>
    </row>
    <row r="18" spans="1:10" x14ac:dyDescent="0.2">
      <c r="A18" s="21"/>
      <c r="E18" s="23"/>
      <c r="G18" s="21"/>
      <c r="H18" s="23"/>
    </row>
    <row r="19" spans="1:10" x14ac:dyDescent="0.2">
      <c r="A19" s="21"/>
      <c r="J19" s="23"/>
    </row>
    <row r="20" spans="1:10" x14ac:dyDescent="0.2">
      <c r="A20" s="21"/>
      <c r="J20" s="23"/>
    </row>
    <row r="21" spans="1:10" x14ac:dyDescent="0.2">
      <c r="A21" s="21"/>
      <c r="J21" s="23"/>
    </row>
    <row r="22" spans="1:10" x14ac:dyDescent="0.2">
      <c r="A22" s="21"/>
      <c r="J22" s="23"/>
    </row>
    <row r="23" spans="1:10" x14ac:dyDescent="0.2">
      <c r="A23" s="21"/>
      <c r="J23" s="23"/>
    </row>
    <row r="24" spans="1:10" x14ac:dyDescent="0.2">
      <c r="A24" s="21"/>
      <c r="J24" s="2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olha">
                <anchor moveWithCells="1" siz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0</xdr:col>
                    <xdr:colOff>1228725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2516-413A-4AB2-B7B6-C925987ED296}">
  <sheetPr codeName="Sheet3">
    <tabColor rgb="FF00FFFF"/>
  </sheetPr>
  <dimension ref="A1:F19"/>
  <sheetViews>
    <sheetView workbookViewId="0">
      <selection activeCell="O26" sqref="O26"/>
    </sheetView>
  </sheetViews>
  <sheetFormatPr defaultRowHeight="15" x14ac:dyDescent="0.25"/>
  <cols>
    <col min="1" max="1" width="38" customWidth="1"/>
  </cols>
  <sheetData>
    <row r="1" spans="1:6" s="37" customFormat="1" ht="48.75" customHeight="1" x14ac:dyDescent="0.25">
      <c r="A1" s="41" t="s">
        <v>214</v>
      </c>
    </row>
    <row r="2" spans="1:6" s="36" customFormat="1" x14ac:dyDescent="0.25"/>
    <row r="3" spans="1:6" s="36" customFormat="1" x14ac:dyDescent="0.25"/>
    <row r="6" spans="1:6" x14ac:dyDescent="0.25">
      <c r="D6" s="40"/>
    </row>
    <row r="7" spans="1:6" x14ac:dyDescent="0.25">
      <c r="F7" s="38" t="s">
        <v>215</v>
      </c>
    </row>
    <row r="8" spans="1:6" x14ac:dyDescent="0.25">
      <c r="F8" t="s">
        <v>218</v>
      </c>
    </row>
    <row r="9" spans="1:6" x14ac:dyDescent="0.25">
      <c r="B9" s="39" t="s">
        <v>216</v>
      </c>
      <c r="C9" s="29" t="s">
        <v>218</v>
      </c>
      <c r="F9" t="s">
        <v>218</v>
      </c>
    </row>
    <row r="10" spans="1:6" x14ac:dyDescent="0.25">
      <c r="B10" s="39" t="s">
        <v>217</v>
      </c>
      <c r="C10" s="29">
        <v>12</v>
      </c>
      <c r="F10" t="s">
        <v>218</v>
      </c>
    </row>
    <row r="11" spans="1:6" x14ac:dyDescent="0.25">
      <c r="F11" t="s">
        <v>218</v>
      </c>
    </row>
    <row r="12" spans="1:6" x14ac:dyDescent="0.25">
      <c r="F12" t="s">
        <v>218</v>
      </c>
    </row>
    <row r="13" spans="1:6" x14ac:dyDescent="0.25">
      <c r="F13" t="s">
        <v>218</v>
      </c>
    </row>
    <row r="14" spans="1:6" x14ac:dyDescent="0.25">
      <c r="F14" t="s">
        <v>218</v>
      </c>
    </row>
    <row r="15" spans="1:6" x14ac:dyDescent="0.25">
      <c r="F15" t="s">
        <v>218</v>
      </c>
    </row>
    <row r="16" spans="1:6" x14ac:dyDescent="0.25">
      <c r="F16" t="s">
        <v>218</v>
      </c>
    </row>
    <row r="17" spans="6:6" x14ac:dyDescent="0.25">
      <c r="F17" t="s">
        <v>218</v>
      </c>
    </row>
    <row r="18" spans="6:6" x14ac:dyDescent="0.25">
      <c r="F18" t="s">
        <v>218</v>
      </c>
    </row>
    <row r="19" spans="6:6" x14ac:dyDescent="0.25">
      <c r="F19" t="s">
        <v>218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petirNome">
                <anchor moveWithCells="1" sizeWithCells="1">
                  <from>
                    <xdr:col>1</xdr:col>
                    <xdr:colOff>0</xdr:colOff>
                    <xdr:row>0</xdr:row>
                    <xdr:rowOff>28575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D7492-0873-404F-809F-976D3AFC6F13}">
  <sheetPr codeName="Sheet4">
    <tabColor rgb="FF92D050"/>
  </sheetPr>
  <dimension ref="B1:G31"/>
  <sheetViews>
    <sheetView workbookViewId="0">
      <selection activeCell="C8" sqref="C8"/>
    </sheetView>
  </sheetViews>
  <sheetFormatPr defaultRowHeight="15" x14ac:dyDescent="0.25"/>
  <cols>
    <col min="1" max="1" width="9.140625" style="42"/>
    <col min="2" max="2" width="32.42578125" style="42" bestFit="1" customWidth="1"/>
    <col min="3" max="3" width="15" style="42" bestFit="1" customWidth="1"/>
    <col min="4" max="4" width="9.140625" style="42"/>
    <col min="5" max="5" width="29.85546875" style="42" customWidth="1"/>
    <col min="6" max="6" width="17.28515625" style="46" customWidth="1"/>
    <col min="7" max="7" width="12.7109375" style="42" bestFit="1" customWidth="1"/>
    <col min="8" max="16384" width="9.140625" style="42"/>
  </cols>
  <sheetData>
    <row r="1" spans="2:7" s="44" customFormat="1" x14ac:dyDescent="0.25">
      <c r="F1" s="45"/>
    </row>
    <row r="2" spans="2:7" s="44" customFormat="1" x14ac:dyDescent="0.25">
      <c r="B2" s="44" t="s">
        <v>219</v>
      </c>
      <c r="F2" s="45"/>
    </row>
    <row r="3" spans="2:7" s="44" customFormat="1" x14ac:dyDescent="0.25">
      <c r="F3" s="45"/>
    </row>
    <row r="5" spans="2:7" x14ac:dyDescent="0.25">
      <c r="B5" s="42" t="s">
        <v>225</v>
      </c>
      <c r="E5" s="42" t="s">
        <v>226</v>
      </c>
    </row>
    <row r="7" spans="2:7" x14ac:dyDescent="0.25">
      <c r="B7" s="47" t="s">
        <v>220</v>
      </c>
      <c r="C7" s="46">
        <v>10000</v>
      </c>
      <c r="E7" s="48" t="s">
        <v>227</v>
      </c>
      <c r="F7" s="49" t="s">
        <v>228</v>
      </c>
      <c r="G7" s="48" t="s">
        <v>229</v>
      </c>
    </row>
    <row r="8" spans="2:7" ht="27" customHeight="1" x14ac:dyDescent="0.25">
      <c r="B8" s="47" t="s">
        <v>221</v>
      </c>
      <c r="C8" s="42">
        <v>24</v>
      </c>
      <c r="E8" s="42">
        <v>1</v>
      </c>
      <c r="F8" s="46">
        <v>470.73469999999998</v>
      </c>
      <c r="G8" s="50">
        <v>44331</v>
      </c>
    </row>
    <row r="9" spans="2:7" x14ac:dyDescent="0.25">
      <c r="B9" s="47" t="s">
        <v>222</v>
      </c>
      <c r="C9" s="43">
        <v>0.01</v>
      </c>
      <c r="E9" s="42">
        <v>2</v>
      </c>
      <c r="F9" s="46">
        <v>470.73469999999998</v>
      </c>
      <c r="G9" s="50">
        <v>44362</v>
      </c>
    </row>
    <row r="10" spans="2:7" x14ac:dyDescent="0.25">
      <c r="B10" s="47" t="s">
        <v>224</v>
      </c>
      <c r="C10" s="51">
        <f>ABS(PMT(C9,C8,C7))</f>
        <v>470.73472223264707</v>
      </c>
      <c r="E10" s="42">
        <v>3</v>
      </c>
      <c r="F10" s="46">
        <v>470.73469999999998</v>
      </c>
      <c r="G10" s="50">
        <v>44392</v>
      </c>
    </row>
    <row r="11" spans="2:7" x14ac:dyDescent="0.25">
      <c r="B11" s="47" t="s">
        <v>223</v>
      </c>
      <c r="C11" s="51">
        <f>C8*C10</f>
        <v>11297.63333358353</v>
      </c>
      <c r="E11" s="42">
        <v>4</v>
      </c>
      <c r="F11" s="46">
        <v>470.73469999999998</v>
      </c>
      <c r="G11" s="50">
        <v>44423</v>
      </c>
    </row>
    <row r="12" spans="2:7" x14ac:dyDescent="0.25">
      <c r="B12" s="47" t="s">
        <v>230</v>
      </c>
      <c r="C12" s="50">
        <v>44331</v>
      </c>
      <c r="E12" s="42">
        <v>5</v>
      </c>
      <c r="F12" s="46">
        <v>470.73469999999998</v>
      </c>
      <c r="G12" s="50">
        <v>44454</v>
      </c>
    </row>
    <row r="13" spans="2:7" x14ac:dyDescent="0.25">
      <c r="E13" s="42">
        <v>6</v>
      </c>
      <c r="F13" s="46">
        <v>470.73469999999998</v>
      </c>
      <c r="G13" s="50">
        <v>44484</v>
      </c>
    </row>
    <row r="14" spans="2:7" x14ac:dyDescent="0.25">
      <c r="E14" s="42">
        <v>7</v>
      </c>
      <c r="F14" s="46">
        <v>470.73469999999998</v>
      </c>
      <c r="G14" s="50">
        <v>44515</v>
      </c>
    </row>
    <row r="15" spans="2:7" x14ac:dyDescent="0.25">
      <c r="E15" s="42">
        <v>8</v>
      </c>
      <c r="F15" s="46">
        <v>470.73469999999998</v>
      </c>
      <c r="G15" s="50">
        <v>44545</v>
      </c>
    </row>
    <row r="16" spans="2:7" x14ac:dyDescent="0.25">
      <c r="E16" s="42">
        <v>9</v>
      </c>
      <c r="F16" s="46">
        <v>470.73469999999998</v>
      </c>
      <c r="G16" s="50">
        <v>44576</v>
      </c>
    </row>
    <row r="17" spans="5:7" x14ac:dyDescent="0.25">
      <c r="E17" s="42">
        <v>10</v>
      </c>
      <c r="F17" s="46">
        <v>470.73469999999998</v>
      </c>
      <c r="G17" s="50">
        <v>44607</v>
      </c>
    </row>
    <row r="18" spans="5:7" x14ac:dyDescent="0.25">
      <c r="E18" s="42">
        <v>11</v>
      </c>
      <c r="F18" s="46">
        <v>470.73469999999998</v>
      </c>
      <c r="G18" s="50">
        <v>44635</v>
      </c>
    </row>
    <row r="19" spans="5:7" x14ac:dyDescent="0.25">
      <c r="E19" s="42">
        <v>12</v>
      </c>
      <c r="F19" s="46">
        <v>470.73469999999998</v>
      </c>
      <c r="G19" s="50">
        <v>44666</v>
      </c>
    </row>
    <row r="20" spans="5:7" x14ac:dyDescent="0.25">
      <c r="E20" s="42">
        <v>13</v>
      </c>
      <c r="F20" s="46">
        <v>470.73469999999998</v>
      </c>
      <c r="G20" s="50">
        <v>44696</v>
      </c>
    </row>
    <row r="21" spans="5:7" x14ac:dyDescent="0.25">
      <c r="E21" s="42">
        <v>14</v>
      </c>
      <c r="F21" s="46">
        <v>470.73469999999998</v>
      </c>
      <c r="G21" s="50">
        <v>44727</v>
      </c>
    </row>
    <row r="22" spans="5:7" x14ac:dyDescent="0.25">
      <c r="E22" s="42">
        <v>15</v>
      </c>
      <c r="F22" s="46">
        <v>470.73469999999998</v>
      </c>
      <c r="G22" s="50">
        <v>44757</v>
      </c>
    </row>
    <row r="23" spans="5:7" x14ac:dyDescent="0.25">
      <c r="E23" s="42">
        <v>16</v>
      </c>
      <c r="F23" s="46">
        <v>470.73469999999998</v>
      </c>
      <c r="G23" s="50">
        <v>44788</v>
      </c>
    </row>
    <row r="24" spans="5:7" x14ac:dyDescent="0.25">
      <c r="E24" s="42">
        <v>17</v>
      </c>
      <c r="F24" s="46">
        <v>470.73469999999998</v>
      </c>
      <c r="G24" s="50">
        <v>44819</v>
      </c>
    </row>
    <row r="25" spans="5:7" x14ac:dyDescent="0.25">
      <c r="E25" s="42">
        <v>18</v>
      </c>
      <c r="F25" s="46">
        <v>470.73469999999998</v>
      </c>
      <c r="G25" s="50">
        <v>44849</v>
      </c>
    </row>
    <row r="26" spans="5:7" x14ac:dyDescent="0.25">
      <c r="E26" s="42">
        <v>19</v>
      </c>
      <c r="F26" s="46">
        <v>470.73469999999998</v>
      </c>
      <c r="G26" s="50">
        <v>44880</v>
      </c>
    </row>
    <row r="27" spans="5:7" x14ac:dyDescent="0.25">
      <c r="E27" s="42">
        <v>20</v>
      </c>
      <c r="F27" s="46">
        <v>470.73469999999998</v>
      </c>
      <c r="G27" s="50">
        <v>44910</v>
      </c>
    </row>
    <row r="28" spans="5:7" x14ac:dyDescent="0.25">
      <c r="E28" s="42">
        <v>21</v>
      </c>
      <c r="F28" s="46">
        <v>470.73469999999998</v>
      </c>
      <c r="G28" s="50">
        <v>44941</v>
      </c>
    </row>
    <row r="29" spans="5:7" x14ac:dyDescent="0.25">
      <c r="E29" s="42">
        <v>22</v>
      </c>
      <c r="F29" s="46">
        <v>470.73469999999998</v>
      </c>
      <c r="G29" s="50">
        <v>44972</v>
      </c>
    </row>
    <row r="30" spans="5:7" x14ac:dyDescent="0.25">
      <c r="E30" s="42">
        <v>23</v>
      </c>
      <c r="F30" s="46">
        <v>470.73469999999998</v>
      </c>
      <c r="G30" s="50">
        <v>45000</v>
      </c>
    </row>
    <row r="31" spans="5:7" x14ac:dyDescent="0.25">
      <c r="E31" s="42">
        <v>24</v>
      </c>
      <c r="F31" s="46">
        <v>470.73469999999998</v>
      </c>
      <c r="G31" s="50">
        <v>45031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pinner 1">
              <controlPr defaultSize="0" autoPict="0" macro="[0]!DetalharParcelas">
                <anchor moveWithCells="1" sizeWithCells="1">
                  <from>
                    <xdr:col>2</xdr:col>
                    <xdr:colOff>19050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talharParcelas">
                <anchor moveWithCells="1" sizeWithCells="1">
                  <from>
                    <xdr:col>5</xdr:col>
                    <xdr:colOff>381000</xdr:colOff>
                    <xdr:row>3</xdr:row>
                    <xdr:rowOff>95250</xdr:rowOff>
                  </from>
                  <to>
                    <xdr:col>6</xdr:col>
                    <xdr:colOff>476250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Funcoes de Texto</vt:lpstr>
      <vt:lpstr>Left</vt:lpstr>
      <vt:lpstr>Right</vt:lpstr>
      <vt:lpstr>Mid</vt:lpstr>
      <vt:lpstr>Instr</vt:lpstr>
      <vt:lpstr>Exercicio</vt:lpstr>
      <vt:lpstr>Sheet1</vt:lpstr>
      <vt:lpstr>BaseUnica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Egildo Lira</dc:creator>
  <cp:lastModifiedBy>Sousa, Caio</cp:lastModifiedBy>
  <dcterms:created xsi:type="dcterms:W3CDTF">2020-10-06T13:12:44Z</dcterms:created>
  <dcterms:modified xsi:type="dcterms:W3CDTF">2021-03-27T21:04:29Z</dcterms:modified>
</cp:coreProperties>
</file>