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SOUSA\Desktop\Estrutura\Treinamento\EXCEL\"/>
    </mc:Choice>
  </mc:AlternateContent>
  <xr:revisionPtr revIDLastSave="0" documentId="8_{3525C8B6-4F8D-43D4-BE66-7037F4F838E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rova MIS" sheetId="1" r:id="rId1"/>
  </sheets>
  <externalReferences>
    <externalReference r:id="rId2"/>
    <externalReference r:id="rId3"/>
  </externalReferences>
  <definedNames>
    <definedName name="_xlcn.WorksheetConnection_ProvaMIS.xlsxTabela1" hidden="1">Tabela1[]</definedName>
    <definedName name="a" hidden="1">{#N/A,"EXCELENTE",TRUE,"Simulação de dados";#N/A,"NORMAL",TRUE,"Simulação de dados";#N/A,"RUIM",TRUE,"Simulação de dados";"SÃO PAULO",#N/A,TRUE,"Simulação de dados"}</definedName>
    <definedName name="anscount" hidden="1">2</definedName>
    <definedName name="Foto_Din">OFFSET([1]Imagens!$A$3,[2]Painel!$C$7,2)</definedName>
    <definedName name="limcount" hidden="1">1</definedName>
    <definedName name="sencount" hidden="1">1</definedName>
    <definedName name="wrn.Cenários." hidden="1">{"Todos os estados",#N/A,TRUE,"Exibição 41";"Todos os estados",#N/A,TRUE,"Exibição 41";#N/A,"Ruim",TRUE,"Cenario 34";#N/A,"Médio",TRUE,"Cenario 34";#N/A,"Bom",TRUE,"Cenario 34";#N/A,"Excelente",TRUE,"Cenario 34"}</definedName>
    <definedName name="wrn.Colar._.com._.vinculo." hidden="1">{#N/A,#N/A,FALSE,"Colar com vinculo"}</definedName>
    <definedName name="wrn.Colar._.Especial." hidden="1">{#N/A,#N/A,FALSE,"Colar especial"}</definedName>
    <definedName name="wrn.Referencias." hidden="1">{#N/A,#N/A,FALSE,"Referencia"}</definedName>
    <definedName name="wrn.REGIONAL._.SP." hidden="1">{#N/A,"EXCELENTE",TRUE,"Simulação de dados";#N/A,"NORMAL",TRUE,"Simulação de dados";#N/A,"RUIM",TRUE,"Simulação de dados";"SÃO PAULO",#N/A,TRUE,"Simulação de dados"}</definedName>
    <definedName name="wrn.São._.Paulo_._.Minas._.Gerais." hidden="1">{"São Paulo",#N/A,TRUE,"Exibição 41";"Minas Gerais",#N/A,TRUE,"Exibição 41"}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ProvaMIS.xlsx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6" i="1" l="1"/>
  <c r="D192" i="1"/>
  <c r="D53" i="1"/>
  <c r="D54" i="1"/>
  <c r="D55" i="1"/>
  <c r="D56" i="1"/>
  <c r="D57" i="1"/>
  <c r="E159" i="1" s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52" i="1"/>
  <c r="E151" i="1" s="1"/>
  <c r="E150" i="1"/>
  <c r="F151" i="1"/>
  <c r="F152" i="1"/>
  <c r="F150" i="1"/>
  <c r="D137" i="1"/>
  <c r="D138" i="1"/>
  <c r="D139" i="1"/>
  <c r="D140" i="1"/>
  <c r="D141" i="1"/>
  <c r="D142" i="1"/>
  <c r="D143" i="1"/>
  <c r="D144" i="1"/>
  <c r="D145" i="1"/>
  <c r="E137" i="1"/>
  <c r="E138" i="1"/>
  <c r="E139" i="1"/>
  <c r="E140" i="1"/>
  <c r="E141" i="1"/>
  <c r="E142" i="1"/>
  <c r="E143" i="1"/>
  <c r="E144" i="1"/>
  <c r="E145" i="1"/>
  <c r="E136" i="1"/>
  <c r="D131" i="1"/>
  <c r="D130" i="1"/>
  <c r="D129" i="1"/>
  <c r="D123" i="1"/>
  <c r="D124" i="1"/>
  <c r="D122" i="1"/>
  <c r="E41" i="1"/>
  <c r="E42" i="1"/>
  <c r="E43" i="1"/>
  <c r="E44" i="1"/>
  <c r="E40" i="1"/>
  <c r="F32" i="1"/>
  <c r="F33" i="1"/>
  <c r="F34" i="1"/>
  <c r="F35" i="1"/>
  <c r="F31" i="1"/>
  <c r="E22" i="1"/>
  <c r="D22" i="1"/>
  <c r="I12" i="1"/>
  <c r="I13" i="1"/>
  <c r="I14" i="1"/>
  <c r="I11" i="1"/>
  <c r="H12" i="1"/>
  <c r="H13" i="1"/>
  <c r="H14" i="1"/>
  <c r="E16" i="1"/>
  <c r="F16" i="1"/>
  <c r="G16" i="1"/>
  <c r="E15" i="1"/>
  <c r="F15" i="1"/>
  <c r="G15" i="1"/>
  <c r="H11" i="1"/>
  <c r="D16" i="1"/>
  <c r="D15" i="1"/>
  <c r="E157" i="1" l="1"/>
  <c r="E158" i="1"/>
  <c r="E152" i="1"/>
  <c r="D136" i="1"/>
  <c r="A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D48428-1351-4EB9-B166-EE34855E4BA8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8CDBCB4-EDD7-4BB5-9AB2-D11447800B29}" name="WorksheetConnection_ProvaMIS.xlsx!Tabela1" type="102" refreshedVersion="6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ProvaMIS.xlsxTabela1"/>
        </x15:connection>
      </ext>
    </extLst>
  </connection>
</connections>
</file>

<file path=xl/sharedStrings.xml><?xml version="1.0" encoding="utf-8"?>
<sst xmlns="http://schemas.openxmlformats.org/spreadsheetml/2006/main" count="179" uniqueCount="107">
  <si>
    <t>As respostas devem ser inseridas nos campos sinalizados, como no exemplo:</t>
  </si>
  <si>
    <t>Nome:</t>
  </si>
  <si>
    <t>Através da tabela abaixo, complete as colunas e linhas de "TOTAL" e "MÉDIA" por meio de fórmulas do Excel.</t>
  </si>
  <si>
    <t>Produto</t>
  </si>
  <si>
    <t>Total</t>
  </si>
  <si>
    <t>Média</t>
  </si>
  <si>
    <t>Câmera</t>
  </si>
  <si>
    <t>DVD</t>
  </si>
  <si>
    <t>TV</t>
  </si>
  <si>
    <t>Telefone</t>
  </si>
  <si>
    <r>
      <t xml:space="preserve">Utilize uma fórmula do Excel para extrair os </t>
    </r>
    <r>
      <rPr>
        <b/>
        <sz val="16"/>
        <color theme="0"/>
        <rFont val="Geogrotesque Sitel Regular"/>
        <family val="3"/>
      </rPr>
      <t>três</t>
    </r>
    <r>
      <rPr>
        <sz val="16"/>
        <color theme="0"/>
        <rFont val="Geogrotesque Sitel Regular"/>
        <family val="3"/>
      </rPr>
      <t xml:space="preserve"> primeiros caracteres da célula em destaque a seguir.</t>
    </r>
  </si>
  <si>
    <t>JANEIRO</t>
  </si>
  <si>
    <t>Resposta:</t>
  </si>
  <si>
    <r>
      <t xml:space="preserve">No </t>
    </r>
    <r>
      <rPr>
        <b/>
        <sz val="16"/>
        <color theme="0"/>
        <rFont val="Geogrotesque Sitel Regular"/>
        <family val="3"/>
      </rPr>
      <t>Editor Visual Basic</t>
    </r>
    <r>
      <rPr>
        <sz val="16"/>
        <color theme="0"/>
        <rFont val="Geogrotesque Sitel Regular"/>
        <family val="3"/>
      </rPr>
      <t>, crie um módulo que colete o valor da célula em destaque a seguir e exiba na tela quando o botão abaixo for pressionado.</t>
    </r>
  </si>
  <si>
    <r>
      <t xml:space="preserve">Encontre o </t>
    </r>
    <r>
      <rPr>
        <b/>
        <sz val="16"/>
        <color theme="0"/>
        <rFont val="Geogrotesque Sitel Regular"/>
        <family val="3"/>
      </rPr>
      <t>percentual de variação</t>
    </r>
    <r>
      <rPr>
        <sz val="16"/>
        <color theme="0"/>
        <rFont val="Geogrotesque Sitel Regular"/>
        <family val="3"/>
      </rPr>
      <t xml:space="preserve"> de cada produto em relação ao mês anterior. Preencha com fórmulas no espaço indicado.</t>
    </r>
  </si>
  <si>
    <t>% de variação</t>
  </si>
  <si>
    <r>
      <t xml:space="preserve">Encontre o </t>
    </r>
    <r>
      <rPr>
        <b/>
        <sz val="16"/>
        <color theme="0"/>
        <rFont val="Geogrotesque Sitel Regular"/>
        <family val="3"/>
      </rPr>
      <t>percentual de representatividade</t>
    </r>
    <r>
      <rPr>
        <sz val="16"/>
        <color theme="0"/>
        <rFont val="Geogrotesque Sitel Regular"/>
        <family val="3"/>
      </rPr>
      <t xml:space="preserve"> de cada produto em relação ao consolidado. Preencha com fórmulas no espaço indicado.</t>
    </r>
  </si>
  <si>
    <t>% de representativade</t>
  </si>
  <si>
    <t>Encontre os valores de acordo com a fórmula proposta.. Utilize como base de dados a Tabela 1.</t>
  </si>
  <si>
    <t>a)</t>
  </si>
  <si>
    <r>
      <t xml:space="preserve">Utilize a fórmula </t>
    </r>
    <r>
      <rPr>
        <b/>
        <sz val="16"/>
        <color theme="0"/>
        <rFont val="Geogrotesque Sitel Regular"/>
        <family val="3"/>
      </rPr>
      <t>"CONCATENAR"</t>
    </r>
    <r>
      <rPr>
        <sz val="16"/>
        <color theme="0"/>
        <rFont val="Geogrotesque Sitel Regular"/>
        <family val="3"/>
      </rPr>
      <t xml:space="preserve"> na coluna Campo de Pesquisa - </t>
    </r>
    <r>
      <rPr>
        <b/>
        <sz val="16"/>
        <color theme="0"/>
        <rFont val="Geogrotesque Sitel Regular"/>
        <family val="3"/>
      </rPr>
      <t>"CP"</t>
    </r>
    <r>
      <rPr>
        <sz val="16"/>
        <color theme="0"/>
        <rFont val="Geogrotesque Sitel Regular"/>
        <family val="3"/>
      </rPr>
      <t xml:space="preserve"> para concatenar a </t>
    </r>
    <r>
      <rPr>
        <b/>
        <sz val="16"/>
        <color theme="0"/>
        <rFont val="Geogrotesque Sitel Regular"/>
        <family val="3"/>
      </rPr>
      <t>DATA</t>
    </r>
    <r>
      <rPr>
        <sz val="16"/>
        <color theme="0"/>
        <rFont val="Geogrotesque Sitel Regular"/>
        <family val="3"/>
      </rPr>
      <t xml:space="preserve"> e o </t>
    </r>
    <r>
      <rPr>
        <b/>
        <sz val="16"/>
        <color theme="0"/>
        <rFont val="Geogrotesque Sitel Regular"/>
        <family val="3"/>
      </rPr>
      <t>OPERADOR</t>
    </r>
    <r>
      <rPr>
        <sz val="16"/>
        <color theme="0"/>
        <rFont val="Geogrotesque Sitel Regular"/>
        <family val="3"/>
      </rPr>
      <t>.</t>
    </r>
  </si>
  <si>
    <t>b)</t>
  </si>
  <si>
    <r>
      <t xml:space="preserve">Utilize a </t>
    </r>
    <r>
      <rPr>
        <b/>
        <sz val="16"/>
        <color theme="0"/>
        <rFont val="Geogrotesque Sitel Regular"/>
        <family val="3"/>
      </rPr>
      <t>formatação condicional</t>
    </r>
    <r>
      <rPr>
        <sz val="16"/>
        <color theme="0"/>
        <rFont val="Geogrotesque Sitel Regular"/>
        <family val="3"/>
      </rPr>
      <t xml:space="preserve"> para deixar Peter em </t>
    </r>
    <r>
      <rPr>
        <b/>
        <sz val="16"/>
        <color rgb="FFFF0000"/>
        <rFont val="Geogrotesque Sitel Regular"/>
        <family val="3"/>
      </rPr>
      <t>VERMELHO</t>
    </r>
    <r>
      <rPr>
        <sz val="16"/>
        <color theme="0"/>
        <rFont val="Geogrotesque Sitel Regular"/>
        <family val="3"/>
      </rPr>
      <t xml:space="preserve"> e Bill em </t>
    </r>
    <r>
      <rPr>
        <b/>
        <sz val="16"/>
        <color rgb="FF00B0F0"/>
        <rFont val="Geogrotesque Sitel Regular"/>
        <family val="3"/>
      </rPr>
      <t>AZUL</t>
    </r>
    <r>
      <rPr>
        <sz val="16"/>
        <color theme="0"/>
        <rFont val="Geogrotesque Sitel Regular"/>
        <family val="3"/>
      </rPr>
      <t>.</t>
    </r>
  </si>
  <si>
    <t>Tabela 1</t>
  </si>
  <si>
    <t>CP</t>
  </si>
  <si>
    <t>Data</t>
  </si>
  <si>
    <t>Vendas</t>
  </si>
  <si>
    <t>Operador</t>
  </si>
  <si>
    <t>Peter</t>
  </si>
  <si>
    <t>Bill</t>
  </si>
  <si>
    <t>Jack</t>
  </si>
  <si>
    <r>
      <t xml:space="preserve">Crie uma </t>
    </r>
    <r>
      <rPr>
        <b/>
        <sz val="16"/>
        <color theme="0"/>
        <rFont val="Geogrotesque Sitel Regular"/>
        <family val="3"/>
      </rPr>
      <t>tabela dinâmica</t>
    </r>
    <r>
      <rPr>
        <sz val="16"/>
        <color theme="0"/>
        <rFont val="Geogrotesque Sitel Regular"/>
        <family val="3"/>
      </rPr>
      <t xml:space="preserve"> com os dados do exercício 6, considerando: Operador X Vendas X Dia.</t>
    </r>
  </si>
  <si>
    <r>
      <t>Crie um</t>
    </r>
    <r>
      <rPr>
        <b/>
        <sz val="16"/>
        <color theme="0"/>
        <rFont val="Geogrotesque Sitel Regular"/>
        <family val="3"/>
      </rPr>
      <t xml:space="preserve"> gráfico dinâmico de barras </t>
    </r>
    <r>
      <rPr>
        <sz val="16"/>
        <color theme="0"/>
        <rFont val="Geogrotesque Sitel Regular"/>
        <family val="3"/>
      </rPr>
      <t>com os dados do exercício 7.</t>
    </r>
  </si>
  <si>
    <r>
      <t xml:space="preserve">Encontre o </t>
    </r>
    <r>
      <rPr>
        <b/>
        <sz val="16"/>
        <color theme="0"/>
        <rFont val="Geogrotesque Sitel Regular"/>
        <family val="3"/>
      </rPr>
      <t>total</t>
    </r>
    <r>
      <rPr>
        <sz val="16"/>
        <color theme="0"/>
        <rFont val="Geogrotesque Sitel Regular"/>
        <family val="3"/>
      </rPr>
      <t xml:space="preserve"> de vendas por operador utilizando a fórmula </t>
    </r>
    <r>
      <rPr>
        <b/>
        <sz val="16"/>
        <color theme="0"/>
        <rFont val="Geogrotesque Sitel Regular"/>
        <family val="3"/>
      </rPr>
      <t>"SOMASE"</t>
    </r>
    <r>
      <rPr>
        <sz val="16"/>
        <color theme="0"/>
        <rFont val="Geogrotesque Sitel Regular"/>
        <family val="3"/>
      </rPr>
      <t>. Utilize a base de dados do exercício 6.</t>
    </r>
  </si>
  <si>
    <r>
      <t xml:space="preserve">Encontre o </t>
    </r>
    <r>
      <rPr>
        <b/>
        <sz val="16"/>
        <color theme="0"/>
        <rFont val="Geogrotesque Sitel Regular"/>
        <family val="3"/>
      </rPr>
      <t>média</t>
    </r>
    <r>
      <rPr>
        <sz val="16"/>
        <color theme="0"/>
        <rFont val="Geogrotesque Sitel Regular"/>
        <family val="3"/>
      </rPr>
      <t xml:space="preserve"> de vendas por operador utilizando as fórmulas </t>
    </r>
    <r>
      <rPr>
        <b/>
        <sz val="16"/>
        <color theme="0"/>
        <rFont val="Geogrotesque Sitel Regular"/>
        <family val="3"/>
      </rPr>
      <t>"SOMASE" e "CONT.SE"</t>
    </r>
    <r>
      <rPr>
        <sz val="16"/>
        <color theme="0"/>
        <rFont val="Geogrotesque Sitel Regular"/>
        <family val="3"/>
      </rPr>
      <t>. Utilize a base de dados do exercício 6.</t>
    </r>
  </si>
  <si>
    <r>
      <t xml:space="preserve">Encontre o </t>
    </r>
    <r>
      <rPr>
        <b/>
        <sz val="16"/>
        <color theme="0"/>
        <rFont val="Geogrotesque Sitel Regular"/>
        <family val="3"/>
      </rPr>
      <t>total</t>
    </r>
    <r>
      <rPr>
        <sz val="16"/>
        <color theme="0"/>
        <rFont val="Geogrotesque Sitel Regular"/>
        <family val="3"/>
      </rPr>
      <t xml:space="preserve"> de vendas por dia utilizando a fórmula </t>
    </r>
    <r>
      <rPr>
        <b/>
        <sz val="16"/>
        <color theme="0"/>
        <rFont val="Geogrotesque Sitel Regular"/>
        <family val="3"/>
      </rPr>
      <t>"SOMASE"</t>
    </r>
    <r>
      <rPr>
        <sz val="16"/>
        <color theme="0"/>
        <rFont val="Geogrotesque Sitel Regular"/>
        <family val="3"/>
      </rPr>
      <t>. Utilize a base de dados do exercício 6.</t>
    </r>
  </si>
  <si>
    <r>
      <t xml:space="preserve">Encontre o </t>
    </r>
    <r>
      <rPr>
        <b/>
        <sz val="16"/>
        <color theme="0"/>
        <rFont val="Geogrotesque Sitel Regular"/>
        <family val="3"/>
      </rPr>
      <t>total</t>
    </r>
    <r>
      <rPr>
        <sz val="16"/>
        <color theme="0"/>
        <rFont val="Geogrotesque Sitel Regular"/>
        <family val="3"/>
      </rPr>
      <t xml:space="preserve"> de vendas por operador/dia utilizando a fórmula </t>
    </r>
    <r>
      <rPr>
        <b/>
        <sz val="16"/>
        <color theme="0"/>
        <rFont val="Geogrotesque Sitel Regular"/>
        <family val="3"/>
      </rPr>
      <t>"PROCV"</t>
    </r>
    <r>
      <rPr>
        <sz val="16"/>
        <color theme="0"/>
        <rFont val="Geogrotesque Sitel Regular"/>
        <family val="3"/>
      </rPr>
      <t>. Utilize a base de dados do exercício 6.</t>
    </r>
  </si>
  <si>
    <r>
      <t>Utilize a fórmula</t>
    </r>
    <r>
      <rPr>
        <b/>
        <sz val="16"/>
        <color theme="0"/>
        <rFont val="Geogrotesque Sitel Regular"/>
        <family val="3"/>
      </rPr>
      <t xml:space="preserve"> "SE" </t>
    </r>
    <r>
      <rPr>
        <sz val="16"/>
        <color theme="0"/>
        <rFont val="Geogrotesque Sitel Regular"/>
        <family val="3"/>
      </rPr>
      <t>para dizer se o vendedor teve vendas no dia ou não. Utilize a base de dados do exercício 6.</t>
    </r>
  </si>
  <si>
    <t>Faça uma análise crítica dos resultados dos exercícios 9, 10, 11, 12 e 13.</t>
  </si>
  <si>
    <t>Qual o próximo número da sequência lógica abaixo?</t>
  </si>
  <si>
    <t>1 1 2 3 5 8</t>
  </si>
  <si>
    <r>
      <t xml:space="preserve">Utilize a fórmula </t>
    </r>
    <r>
      <rPr>
        <b/>
        <sz val="16"/>
        <color theme="0"/>
        <rFont val="Geogrotesque Sitel Regular"/>
        <family val="3"/>
      </rPr>
      <t>"TEXTO"</t>
    </r>
    <r>
      <rPr>
        <sz val="16"/>
        <color theme="0"/>
        <rFont val="Geogrotesque Sitel Regular"/>
        <family val="3"/>
      </rPr>
      <t xml:space="preserve"> para extrair o mês da célula em destaque a seguir, conforme exemplo:</t>
    </r>
  </si>
  <si>
    <t>Ex.:</t>
  </si>
  <si>
    <r>
      <rPr>
        <b/>
        <sz val="16"/>
        <color theme="0"/>
        <rFont val="Geogrotesque Sitel Regular"/>
        <family val="3"/>
      </rPr>
      <t>Concatene (junte)</t>
    </r>
    <r>
      <rPr>
        <sz val="16"/>
        <color theme="0"/>
        <rFont val="Geogrotesque Sitel Regular"/>
        <family val="3"/>
      </rPr>
      <t xml:space="preserve"> os textos abaixo e acrescente a palavra "DA SILVA" no final. Deixe espaço entre os nomes</t>
    </r>
  </si>
  <si>
    <t>ANA</t>
  </si>
  <si>
    <t>MARIA</t>
  </si>
  <si>
    <t>FERREIRA</t>
  </si>
  <si>
    <r>
      <t>Separe o</t>
    </r>
    <r>
      <rPr>
        <b/>
        <sz val="16"/>
        <color theme="0"/>
        <rFont val="Geogrotesque Sitel Regular"/>
        <family val="3"/>
      </rPr>
      <t xml:space="preserve"> primeiro nome</t>
    </r>
    <r>
      <rPr>
        <sz val="16"/>
        <color theme="0"/>
        <rFont val="Geogrotesque Sitel Regular"/>
        <family val="3"/>
      </rPr>
      <t xml:space="preserve"> de cada nome da lista abaixo utilizando fórmula.</t>
    </r>
  </si>
  <si>
    <t>TIAGO CONCEIÇÃO DA SILVA</t>
  </si>
  <si>
    <t>ANTONIO DA SILVA</t>
  </si>
  <si>
    <t>MARIA APARECIDA DA SILVA SANTOS</t>
  </si>
  <si>
    <t>Melhore a fórmula abaixo retirando o erro #DIV/0!.</t>
  </si>
  <si>
    <t>Num. 1</t>
  </si>
  <si>
    <t>Num. 2</t>
  </si>
  <si>
    <t>Divisão</t>
  </si>
  <si>
    <r>
      <t xml:space="preserve">Se os CPFs abaixo começarem com 7 mostre a célula na cor </t>
    </r>
    <r>
      <rPr>
        <b/>
        <sz val="16"/>
        <color rgb="FF00B0F0"/>
        <rFont val="Geogrotesque Sitel Regular"/>
        <family val="3"/>
      </rPr>
      <t>AZUL</t>
    </r>
    <r>
      <rPr>
        <sz val="16"/>
        <color theme="0"/>
        <rFont val="Geogrotesque Sitel Regular"/>
        <family val="3"/>
      </rPr>
      <t xml:space="preserve">, se começar com 9 mostrar a célula em </t>
    </r>
    <r>
      <rPr>
        <b/>
        <sz val="16"/>
        <color rgb="FFFF0000"/>
        <rFont val="Geogrotesque Sitel Regular"/>
        <family val="3"/>
      </rPr>
      <t>VERMELHO</t>
    </r>
    <r>
      <rPr>
        <sz val="16"/>
        <color theme="0"/>
        <rFont val="Geogrotesque Sitel Regular"/>
        <family val="3"/>
      </rPr>
      <t>. Utilize formatação condicional.</t>
    </r>
  </si>
  <si>
    <t>34350543791</t>
  </si>
  <si>
    <t>27130441895</t>
  </si>
  <si>
    <t>1538038862</t>
  </si>
  <si>
    <t>14951288818</t>
  </si>
  <si>
    <t>10840261802</t>
  </si>
  <si>
    <t>70533555787</t>
  </si>
  <si>
    <t>11877552810</t>
  </si>
  <si>
    <t>9969718827</t>
  </si>
  <si>
    <t>6509545640</t>
  </si>
  <si>
    <t>86235966768</t>
  </si>
  <si>
    <t>79903240759</t>
  </si>
  <si>
    <t>7875384770</t>
  </si>
  <si>
    <t>3047213950</t>
  </si>
  <si>
    <t>76044971791</t>
  </si>
  <si>
    <t>8099557760</t>
  </si>
  <si>
    <t>90501357653</t>
  </si>
  <si>
    <t>1665958880</t>
  </si>
  <si>
    <t>79399460487</t>
  </si>
  <si>
    <t>14602818889</t>
  </si>
  <si>
    <t>7397008712</t>
  </si>
  <si>
    <t>2990447857</t>
  </si>
  <si>
    <t>53396227620</t>
  </si>
  <si>
    <t>14328380168</t>
  </si>
  <si>
    <t>911621733</t>
  </si>
  <si>
    <t>9867841760</t>
  </si>
  <si>
    <t>18929130895</t>
  </si>
  <si>
    <t>5896912870</t>
  </si>
  <si>
    <t>4403655629</t>
  </si>
  <si>
    <t>9625175857</t>
  </si>
  <si>
    <t>69210349504</t>
  </si>
  <si>
    <t>21411512871</t>
  </si>
  <si>
    <t>9993136816</t>
  </si>
  <si>
    <t>8756119747</t>
  </si>
  <si>
    <t>4804881697</t>
  </si>
  <si>
    <t>39178471168</t>
  </si>
  <si>
    <t>24810843734</t>
  </si>
  <si>
    <r>
      <t xml:space="preserve">Procure </t>
    </r>
    <r>
      <rPr>
        <b/>
        <sz val="16"/>
        <color theme="0"/>
        <rFont val="Geogrotesque Sitel Regular"/>
        <family val="3"/>
      </rPr>
      <t>via fórmula</t>
    </r>
    <r>
      <rPr>
        <sz val="16"/>
        <color theme="0"/>
        <rFont val="Geogrotesque Sitel Regular"/>
        <family val="3"/>
      </rPr>
      <t xml:space="preserve"> na tabela abaixo</t>
    </r>
    <r>
      <rPr>
        <b/>
        <sz val="16"/>
        <color theme="0"/>
        <rFont val="Geogrotesque Sitel Regular"/>
        <family val="3"/>
      </rPr>
      <t>, somente</t>
    </r>
    <r>
      <rPr>
        <sz val="16"/>
        <color theme="0"/>
        <rFont val="Geogrotesque Sitel Regular"/>
        <family val="3"/>
      </rPr>
      <t xml:space="preserve"> o nome do cliente.</t>
    </r>
  </si>
  <si>
    <t>Nome do Cliente</t>
  </si>
  <si>
    <t xml:space="preserve">1JL03621264682341300000000000020110204COSME JOSE DA SILVA       0            000000000011459659430000        VNNN         20       00000CN      00000CN     </t>
  </si>
  <si>
    <t xml:space="preserve">1JL02378102624341300000000000020110204MEIRE CAFE BARBOSA       0          381017988460349915140201191NNN      BD200000PRE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</si>
  <si>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1JL01588343333341300000000000020110204MAINARD BASTOS DA SILVA    0   00000000007436622</t>
  </si>
  <si>
    <t xml:space="preserve">1JL05389171546341300000000000020110204ROBERTO COELHO DE OLIVEIRA    00001756         03381017988460349915180403121813490104387NNN      BD200000FIA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</si>
  <si>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1JL06028859491341300000000000020110204FABRICIO ADEMAR FERNANDES           00000000637023000000000         03381017988460349915180403132813560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</si>
  <si>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Faça a soma da célula A1 nas guias "01", "02", "03", "04", utilizando uma única fórmula de </t>
    </r>
    <r>
      <rPr>
        <b/>
        <sz val="16"/>
        <color theme="0"/>
        <rFont val="Geogrotesque Sitel Regular"/>
        <family val="3"/>
      </rPr>
      <t>"SOMA"</t>
    </r>
    <r>
      <rPr>
        <sz val="16"/>
        <color theme="0"/>
        <rFont val="Geogrotesque Sitel Regular"/>
        <family val="3"/>
      </rPr>
      <t>.</t>
    </r>
  </si>
  <si>
    <t>CAIO LIMA SOSUA</t>
  </si>
  <si>
    <t>CAIO</t>
  </si>
  <si>
    <t>o-1 indica os 100%</t>
  </si>
  <si>
    <t>Rótulos de Linha</t>
  </si>
  <si>
    <t>Total Geral</t>
  </si>
  <si>
    <t>Soma de Vendas</t>
  </si>
  <si>
    <t>Rótulos de Coluna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</si>
</sst>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0.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Geogrotesque Sitel Regular"/>
      <family val="3"/>
    </font>
    <font>
      <sz val="18"/>
      <color theme="1"/>
      <name val="Geogrotesque Sitel Regular"/>
      <family val="3"/>
    </font>
    <font>
      <sz val="14"/>
      <color theme="0"/>
      <name val="Geogrotesque Sitel Regular"/>
      <family val="3"/>
    </font>
    <font>
      <b/>
      <i/>
      <sz val="22"/>
      <color theme="1"/>
      <name val="Geogrotesque Sitel Bold"/>
      <family val="3"/>
    </font>
    <font>
      <sz val="18"/>
      <color theme="0"/>
      <name val="Geogrotesque Sitel Regular"/>
      <family val="3"/>
    </font>
    <font>
      <sz val="16"/>
      <color theme="0"/>
      <name val="Geogrotesque Sitel Regular"/>
      <family val="3"/>
    </font>
    <font>
      <b/>
      <sz val="16"/>
      <color theme="0"/>
      <name val="Geogrotesque Sitel Regular"/>
      <family val="3"/>
    </font>
    <font>
      <b/>
      <sz val="14"/>
      <color theme="1"/>
      <name val="Geogrotesque Sitel Regular"/>
    </font>
    <font>
      <i/>
      <sz val="14"/>
      <color theme="1"/>
      <name val="Geogrotesque Sitel Bold"/>
      <family val="3"/>
    </font>
    <font>
      <b/>
      <sz val="18"/>
      <color theme="1"/>
      <name val="Geogrotesque Sitel Regular"/>
    </font>
    <font>
      <b/>
      <sz val="14"/>
      <color theme="1"/>
      <name val="Geogrotesque Sitel Regular"/>
      <family val="3"/>
    </font>
    <font>
      <sz val="16"/>
      <color theme="1"/>
      <name val="Geogrotesque Sitel Regular"/>
      <family val="3"/>
    </font>
    <font>
      <b/>
      <sz val="16"/>
      <color rgb="FFFF0000"/>
      <name val="Geogrotesque Sitel Regular"/>
      <family val="3"/>
    </font>
    <font>
      <b/>
      <sz val="16"/>
      <color rgb="FF00B0F0"/>
      <name val="Geogrotesque Sitel Regular"/>
      <family val="3"/>
    </font>
    <font>
      <b/>
      <sz val="16"/>
      <color theme="1"/>
      <name val="Calibri"/>
      <family val="2"/>
      <scheme val="minor"/>
    </font>
    <font>
      <b/>
      <sz val="16"/>
      <color theme="1"/>
      <name val="Geogrotesque Sitel Regular"/>
    </font>
    <font>
      <sz val="14"/>
      <color theme="1"/>
      <name val="Geogrotesque Sitel Bold"/>
      <family val="3"/>
    </font>
    <font>
      <b/>
      <sz val="14"/>
      <color theme="0"/>
      <name val="Geogrotesque Sitel Regular"/>
      <family val="3"/>
    </font>
    <font>
      <b/>
      <sz val="20"/>
      <color theme="1"/>
      <name val="Geogrotesque Sitel Regular"/>
    </font>
    <font>
      <sz val="11"/>
      <color theme="1"/>
      <name val="Geogrotesque Sitel Regular"/>
      <family val="3"/>
    </font>
    <font>
      <sz val="11.5"/>
      <color theme="1"/>
      <name val="Geogrotesque Sitel Regular"/>
      <family val="3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2" fillId="2" borderId="0" xfId="0" applyFont="1" applyFill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2" fillId="0" borderId="0" xfId="0" applyFont="1"/>
    <xf numFmtId="0" fontId="3" fillId="0" borderId="0" xfId="0" applyFont="1"/>
    <xf numFmtId="0" fontId="2" fillId="4" borderId="1" xfId="0" applyFont="1" applyFill="1" applyBorder="1" applyAlignment="1">
      <alignment horizontal="center"/>
    </xf>
    <xf numFmtId="9" fontId="4" fillId="0" borderId="0" xfId="1" applyFont="1" applyAlignment="1">
      <alignment horizontal="center"/>
    </xf>
    <xf numFmtId="0" fontId="5" fillId="3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4" fillId="2" borderId="0" xfId="0" applyFont="1" applyFill="1"/>
    <xf numFmtId="0" fontId="8" fillId="2" borderId="0" xfId="0" applyFont="1" applyFill="1"/>
    <xf numFmtId="164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" fontId="2" fillId="5" borderId="2" xfId="0" applyNumberFormat="1" applyFont="1" applyFill="1" applyBorder="1" applyAlignment="1">
      <alignment horizontal="center"/>
    </xf>
    <xf numFmtId="1" fontId="2" fillId="5" borderId="3" xfId="0" applyNumberFormat="1" applyFont="1" applyFill="1" applyBorder="1" applyAlignment="1">
      <alignment horizontal="center"/>
    </xf>
    <xf numFmtId="1" fontId="9" fillId="4" borderId="1" xfId="0" applyNumberFormat="1" applyFont="1" applyFill="1" applyBorder="1" applyAlignment="1">
      <alignment horizontal="center"/>
    </xf>
    <xf numFmtId="1" fontId="2" fillId="5" borderId="4" xfId="0" applyNumberFormat="1" applyFont="1" applyFill="1" applyBorder="1" applyAlignment="1">
      <alignment horizontal="center"/>
    </xf>
    <xf numFmtId="1" fontId="2" fillId="5" borderId="5" xfId="0" applyNumberFormat="1" applyFont="1" applyFill="1" applyBorder="1" applyAlignment="1">
      <alignment horizontal="center"/>
    </xf>
    <xf numFmtId="0" fontId="10" fillId="0" borderId="0" xfId="0" applyFont="1"/>
    <xf numFmtId="0" fontId="11" fillId="4" borderId="1" xfId="0" applyFont="1" applyFill="1" applyBorder="1" applyAlignment="1">
      <alignment horizontal="left"/>
    </xf>
    <xf numFmtId="0" fontId="8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165" fontId="9" fillId="4" borderId="1" xfId="1" applyNumberFormat="1" applyFont="1" applyFill="1" applyBorder="1" applyAlignment="1">
      <alignment horizontal="center"/>
    </xf>
    <xf numFmtId="10" fontId="9" fillId="0" borderId="0" xfId="1" applyNumberFormat="1" applyFont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3" fillId="0" borderId="0" xfId="0" applyFont="1" applyAlignment="1">
      <alignment horizontal="left" vertical="center"/>
    </xf>
    <xf numFmtId="165" fontId="11" fillId="4" borderId="1" xfId="1" applyNumberFormat="1" applyFont="1" applyFill="1" applyBorder="1" applyAlignment="1">
      <alignment horizontal="left"/>
    </xf>
    <xf numFmtId="0" fontId="3" fillId="0" borderId="0" xfId="0" quotePrefix="1" applyFont="1"/>
    <xf numFmtId="0" fontId="13" fillId="0" borderId="0" xfId="0" quotePrefix="1" applyFont="1"/>
    <xf numFmtId="0" fontId="8" fillId="2" borderId="0" xfId="0" applyFont="1" applyFill="1" applyAlignment="1">
      <alignment horizontal="center" vertical="center"/>
    </xf>
    <xf numFmtId="0" fontId="16" fillId="4" borderId="1" xfId="0" applyFont="1" applyFill="1" applyBorder="1" applyAlignment="1">
      <alignment horizontal="left"/>
    </xf>
    <xf numFmtId="14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4" borderId="6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17" fillId="4" borderId="1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left"/>
    </xf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0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18" fillId="0" borderId="0" xfId="0" applyFont="1"/>
    <xf numFmtId="0" fontId="19" fillId="2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14" fontId="19" fillId="2" borderId="0" xfId="0" applyNumberFormat="1" applyFont="1" applyFill="1" applyAlignment="1">
      <alignment horizontal="center"/>
    </xf>
    <xf numFmtId="0" fontId="20" fillId="4" borderId="1" xfId="0" applyFont="1" applyFill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165" fontId="9" fillId="4" borderId="1" xfId="1" applyNumberFormat="1" applyFont="1" applyFill="1" applyBorder="1" applyAlignment="1">
      <alignment horizontal="left"/>
    </xf>
    <xf numFmtId="49" fontId="2" fillId="0" borderId="0" xfId="0" applyNumberFormat="1" applyFont="1"/>
    <xf numFmtId="0" fontId="21" fillId="0" borderId="0" xfId="0" applyFont="1"/>
    <xf numFmtId="0" fontId="2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2" fillId="0" borderId="0" xfId="0" quotePrefix="1" applyFont="1"/>
    <xf numFmtId="0" fontId="9" fillId="4" borderId="1" xfId="0" quotePrefix="1" applyFont="1" applyFill="1" applyBorder="1" applyAlignment="1">
      <alignment horizontal="left"/>
    </xf>
    <xf numFmtId="0" fontId="8" fillId="2" borderId="12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left"/>
    </xf>
    <xf numFmtId="0" fontId="17" fillId="4" borderId="14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4" borderId="16" xfId="0" applyFont="1" applyFill="1" applyBorder="1" applyAlignment="1">
      <alignment horizontal="left"/>
    </xf>
    <xf numFmtId="0" fontId="9" fillId="4" borderId="14" xfId="0" applyFont="1" applyFill="1" applyBorder="1" applyAlignment="1">
      <alignment horizontal="left"/>
    </xf>
    <xf numFmtId="0" fontId="9" fillId="4" borderId="15" xfId="0" applyFont="1" applyFill="1" applyBorder="1" applyAlignment="1">
      <alignment horizontal="left"/>
    </xf>
    <xf numFmtId="0" fontId="9" fillId="4" borderId="16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5" xfId="0" applyFont="1" applyFill="1" applyBorder="1" applyAlignment="1">
      <alignment horizontal="left"/>
    </xf>
    <xf numFmtId="0" fontId="2" fillId="4" borderId="16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eogrotesque Sitel Regular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eogrotesque Sitel Regular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eogrotesque Sitel Regular"/>
        <family val="3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color rgb="FF00B0F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ProvaMIS com macro.xlsm]Prova MIS!Tabela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'Prova MIS'!$D$85:$D$86</c:f>
              <c:strCache>
                <c:ptCount val="1"/>
                <c:pt idx="0">
                  <c:v>17/03/2019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MIS'!$D$87:$D$90</c:f>
              <c:numCache>
                <c:formatCode>General</c:formatCode>
                <c:ptCount val="3"/>
                <c:pt idx="0">
                  <c:v>3</c:v>
                </c:pt>
                <c:pt idx="1">
                  <c:v>9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6-4DBE-9DB4-46621B16C68D}"/>
            </c:ext>
          </c:extLst>
        </c:ser>
        <c:ser>
          <c:idx val="1"/>
          <c:order val="1"/>
          <c:tx>
            <c:strRef>
              <c:f>'Prova MIS'!$E$85:$E$86</c:f>
              <c:strCache>
                <c:ptCount val="1"/>
                <c:pt idx="0">
                  <c:v>18/03/2019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MIS'!$E$87:$E$90</c:f>
              <c:numCache>
                <c:formatCode>General</c:formatCode>
                <c:ptCount val="3"/>
                <c:pt idx="0">
                  <c:v>0</c:v>
                </c:pt>
                <c:pt idx="1">
                  <c:v>7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86-4DBE-9DB4-46621B16C68D}"/>
            </c:ext>
          </c:extLst>
        </c:ser>
        <c:ser>
          <c:idx val="2"/>
          <c:order val="2"/>
          <c:tx>
            <c:strRef>
              <c:f>'Prova MIS'!$F$85:$F$86</c:f>
              <c:strCache>
                <c:ptCount val="1"/>
                <c:pt idx="0">
                  <c:v>19/03/2019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MIS'!$F$87:$F$90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86-4DBE-9DB4-46621B16C68D}"/>
            </c:ext>
          </c:extLst>
        </c:ser>
        <c:ser>
          <c:idx val="3"/>
          <c:order val="3"/>
          <c:tx>
            <c:strRef>
              <c:f>'Prova MIS'!$G$85:$G$86</c:f>
              <c:strCache>
                <c:ptCount val="1"/>
                <c:pt idx="0">
                  <c:v>20/03/2019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MIS'!$G$87:$G$90</c:f>
              <c:numCache>
                <c:formatCode>General</c:formatCode>
                <c:ptCount val="3"/>
                <c:pt idx="0">
                  <c:v>7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86-4DBE-9DB4-46621B16C68D}"/>
            </c:ext>
          </c:extLst>
        </c:ser>
        <c:ser>
          <c:idx val="4"/>
          <c:order val="4"/>
          <c:tx>
            <c:strRef>
              <c:f>'Prova MIS'!$H$85:$H$86</c:f>
              <c:strCache>
                <c:ptCount val="1"/>
                <c:pt idx="0">
                  <c:v>21/03/2019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MIS'!$H$87:$H$90</c:f>
              <c:numCache>
                <c:formatCode>General</c:formatCode>
                <c:ptCount val="3"/>
                <c:pt idx="0">
                  <c:v>2</c:v>
                </c:pt>
                <c:pt idx="1">
                  <c:v>8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86-4DBE-9DB4-46621B16C68D}"/>
            </c:ext>
          </c:extLst>
        </c:ser>
        <c:ser>
          <c:idx val="5"/>
          <c:order val="5"/>
          <c:tx>
            <c:strRef>
              <c:f>'Prova MIS'!$I$85:$I$86</c:f>
              <c:strCache>
                <c:ptCount val="1"/>
                <c:pt idx="0">
                  <c:v>22/03/2019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MIS'!$I$87:$I$90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86-4DBE-9DB4-46621B16C68D}"/>
            </c:ext>
          </c:extLst>
        </c:ser>
        <c:ser>
          <c:idx val="6"/>
          <c:order val="6"/>
          <c:tx>
            <c:strRef>
              <c:f>'Prova MIS'!$J$85:$J$86</c:f>
              <c:strCache>
                <c:ptCount val="1"/>
                <c:pt idx="0">
                  <c:v>23/03/2019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MIS'!$J$87:$J$90</c:f>
              <c:numCache>
                <c:formatCode>General</c:formatCode>
                <c:ptCount val="3"/>
                <c:pt idx="0">
                  <c:v>10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86-4DBE-9DB4-46621B16C68D}"/>
            </c:ext>
          </c:extLst>
        </c:ser>
        <c:ser>
          <c:idx val="7"/>
          <c:order val="7"/>
          <c:tx>
            <c:strRef>
              <c:f>'Prova MIS'!$K$85:$K$86</c:f>
              <c:strCache>
                <c:ptCount val="1"/>
                <c:pt idx="0">
                  <c:v>24/03/2019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MIS'!$K$87:$K$90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86-4DBE-9DB4-46621B16C68D}"/>
            </c:ext>
          </c:extLst>
        </c:ser>
        <c:ser>
          <c:idx val="8"/>
          <c:order val="8"/>
          <c:tx>
            <c:strRef>
              <c:f>'Prova MIS'!$L$85:$L$86</c:f>
              <c:strCache>
                <c:ptCount val="1"/>
                <c:pt idx="0">
                  <c:v>25/03/2019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MIS'!$L$87:$L$90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86-4DBE-9DB4-46621B16C68D}"/>
            </c:ext>
          </c:extLst>
        </c:ser>
        <c:ser>
          <c:idx val="9"/>
          <c:order val="9"/>
          <c:tx>
            <c:strRef>
              <c:f>'Prova MIS'!$M$85:$M$86</c:f>
              <c:strCache>
                <c:ptCount val="1"/>
                <c:pt idx="0">
                  <c:v>26/03/2019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'Prova MIS'!$C$87:$C$90</c:f>
              <c:strCache>
                <c:ptCount val="3"/>
                <c:pt idx="0">
                  <c:v>Bill</c:v>
                </c:pt>
                <c:pt idx="1">
                  <c:v>Jack</c:v>
                </c:pt>
                <c:pt idx="2">
                  <c:v>Peter</c:v>
                </c:pt>
              </c:strCache>
            </c:strRef>
          </c:cat>
          <c:val>
            <c:numRef>
              <c:f>'Prova MIS'!$M$87:$M$90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86-4DBE-9DB4-46621B16C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330864"/>
        <c:axId val="2118140112"/>
      </c:barChart>
      <c:catAx>
        <c:axId val="5133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8140112"/>
        <c:crosses val="autoZero"/>
        <c:auto val="1"/>
        <c:lblAlgn val="ctr"/>
        <c:lblOffset val="100"/>
        <c:noMultiLvlLbl val="0"/>
      </c:catAx>
      <c:valAx>
        <c:axId val="211814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33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481853</xdr:colOff>
      <xdr:row>24</xdr:row>
      <xdr:rowOff>123265</xdr:rowOff>
    </xdr:from>
    <xdr:to>
      <xdr:col>5</xdr:col>
      <xdr:colOff>1098177</xdr:colOff>
      <xdr:row>26</xdr:row>
      <xdr:rowOff>100854</xdr:rowOff>
    </xdr:to>
    <xdr:sp macro="[0]!exibir" textlink="">
      <xdr:nvSpPr>
        <xdr:cNvPr id="2" name="botao_ola_mundo">
          <a:extLst>
            <a:ext uri="{FF2B5EF4-FFF2-40B4-BE49-F238E27FC236}">
              <a16:creationId xmlns:a16="http://schemas.microsoft.com/office/drawing/2014/main" id="{90DAB4A3-2415-4EAD-81EB-6C30DA814268}"/>
            </a:ext>
          </a:extLst>
        </xdr:cNvPr>
        <xdr:cNvSpPr/>
      </xdr:nvSpPr>
      <xdr:spPr>
        <a:xfrm>
          <a:off x="5330078" y="7228915"/>
          <a:ext cx="2626099" cy="482414"/>
        </a:xfrm>
        <a:prstGeom prst="snip2Diag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44450" h="444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i="1">
              <a:solidFill>
                <a:schemeClr val="tx1"/>
              </a:solidFill>
              <a:latin typeface="Geogrotesque Sitel Bold" pitchFamily="50" charset="0"/>
            </a:rPr>
            <a:t>CLIQUE</a:t>
          </a:r>
          <a:r>
            <a:rPr lang="pt-BR" sz="1800" i="1" baseline="0">
              <a:solidFill>
                <a:schemeClr val="tx1"/>
              </a:solidFill>
              <a:latin typeface="Geogrotesque Sitel Bold" pitchFamily="50" charset="0"/>
            </a:rPr>
            <a:t> AQUI</a:t>
          </a:r>
          <a:endParaRPr lang="pt-BR" sz="1800" i="1">
            <a:solidFill>
              <a:schemeClr val="tx1"/>
            </a:solidFill>
            <a:latin typeface="Geogrotesque Sitel Bold" pitchFamily="50" charset="0"/>
          </a:endParaRPr>
        </a:p>
      </xdr:txBody>
    </xdr:sp>
    <xdr:clientData/>
  </xdr:twoCellAnchor>
  <xdr:absoluteAnchor>
    <xdr:pos x="616324" y="246529"/>
    <xdr:ext cx="3025588" cy="701731"/>
    <xdr:sp macro="" textlink="">
      <xdr:nvSpPr>
        <xdr:cNvPr id="3" name="Titre 1">
          <a:extLst>
            <a:ext uri="{FF2B5EF4-FFF2-40B4-BE49-F238E27FC236}">
              <a16:creationId xmlns:a16="http://schemas.microsoft.com/office/drawing/2014/main" id="{8E5A6F8E-B228-400B-A819-1ACA7A61D11B}"/>
            </a:ext>
          </a:extLst>
        </xdr:cNvPr>
        <xdr:cNvSpPr>
          <a:spLocks noGrp="1"/>
        </xdr:cNvSpPr>
      </xdr:nvSpPr>
      <xdr:spPr>
        <a:xfrm>
          <a:off x="616324" y="246529"/>
          <a:ext cx="3025588" cy="701731"/>
        </a:xfrm>
        <a:prstGeom prst="rect">
          <a:avLst/>
        </a:prstGeom>
        <a:effectLst/>
      </xdr:spPr>
      <xdr:txBody>
        <a:bodyPr vert="horz" wrap="square">
          <a:spAutoFit/>
        </a:bodyPr>
        <a:lstStyle>
          <a:lvl1pPr marL="0" marR="0" indent="0" algn="l" defTabSz="1219170" rtl="0" eaLnBrk="1" fontAlgn="auto" latinLnBrk="0" hangingPunct="1">
            <a:lnSpc>
              <a:spcPct val="80000"/>
            </a:lnSpc>
            <a:spcBef>
              <a:spcPct val="0"/>
            </a:spcBef>
            <a:spcAft>
              <a:spcPts val="0"/>
            </a:spcAft>
            <a:buClrTx/>
            <a:buSzTx/>
            <a:buFontTx/>
            <a:buNone/>
            <a:tabLst/>
            <a:defRPr sz="4800" b="1" i="0" kern="1200" baseline="0">
              <a:solidFill>
                <a:srgbClr val="000000"/>
              </a:solidFill>
              <a:latin typeface="Geogrotesque Sitel Bold" pitchFamily="2" charset="0"/>
              <a:ea typeface="Geogrotesque Sitel Bold" pitchFamily="2" charset="0"/>
              <a:cs typeface="Geogrotesque Sitel Bold" pitchFamily="2" charset="0"/>
            </a:defRPr>
          </a:lvl1pPr>
        </a:lstStyle>
        <a:p>
          <a:r>
            <a:rPr lang="en-US" sz="4400">
              <a:solidFill>
                <a:schemeClr val="bg1"/>
              </a:solidFill>
            </a:rPr>
            <a:t>Prova MIS</a:t>
          </a:r>
          <a:endParaRPr lang="en-US" sz="5400" b="0">
            <a:solidFill>
              <a:schemeClr val="bg1"/>
            </a:solidFill>
            <a:latin typeface="Geogrotesque Sitel Light" charset="0"/>
            <a:ea typeface="Geogrotesque Sitel Light" charset="0"/>
            <a:cs typeface="Geogrotesque Sitel Light" charset="0"/>
          </a:endParaRPr>
        </a:p>
      </xdr:txBody>
    </xdr:sp>
    <xdr:clientData/>
  </xdr:absoluteAnchor>
  <xdr:twoCellAnchor>
    <xdr:from>
      <xdr:col>2</xdr:col>
      <xdr:colOff>47625</xdr:colOff>
      <xdr:row>106</xdr:row>
      <xdr:rowOff>79375</xdr:rowOff>
    </xdr:from>
    <xdr:to>
      <xdr:col>10</xdr:col>
      <xdr:colOff>936625</xdr:colOff>
      <xdr:row>116</xdr:row>
      <xdr:rowOff>5016500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D102AF-1C4B-4781-81DA-AC60D161E8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.silva/Desktop/Teste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anessa.machado/Documents/Curso%20Excel%20Avan&#231;ado/Dashboard/Fares/Desloc/Imagens%20Din&#226;mic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a Sorte"/>
      <sheetName val="Tabela 1"/>
      <sheetName val="Tabela 2"/>
      <sheetName val="Tabela 5"/>
      <sheetName val="Tabela 3"/>
      <sheetName val="Tabela 4"/>
      <sheetName val="Imagens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Produto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inel"/>
      <sheetName val="Imagens"/>
    </sheetNames>
    <sheetDataSet>
      <sheetData sheetId="0">
        <row r="7">
          <cell r="C7">
            <v>4</v>
          </cell>
        </row>
      </sheetData>
      <sheetData sheetId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rainning" refreshedDate="44268.727859143517" backgroundQuery="1" createdVersion="6" refreshedVersion="6" minRefreshableVersion="3" recordCount="0" supportSubquery="1" supportAdvancedDrill="1" xr:uid="{4D404D0E-0F2F-4BA0-9885-609685466ECD}">
  <cacheSource type="external" connectionId="1"/>
  <cacheFields count="3">
    <cacheField name="[Tabela1].[Operador].[Operador]" caption="Operador" numFmtId="0" hierarchy="3" level="1">
      <sharedItems count="3">
        <s v="Bill"/>
        <s v="Jack"/>
        <s v="Peter"/>
      </sharedItems>
    </cacheField>
    <cacheField name="[Measures].[Soma de Vendas]" caption="Soma de Vendas" numFmtId="0" hierarchy="6" level="32767"/>
    <cacheField name="[Tabela1].[Data].[Data]" caption="Data" numFmtId="0" hierarchy="1" level="1">
      <sharedItems containsSemiMixedTypes="0" containsNonDate="0" containsDate="1" containsString="0" minDate="2019-03-17T00:00:00" maxDate="2019-03-27T00:00:00" count="10"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</sharedItems>
    </cacheField>
  </cacheFields>
  <cacheHierarchies count="7">
    <cacheHierarchy uniqueName="[Tabela1].[CP]" caption="CP" attribute="1" defaultMemberUniqueName="[Tabela1].[CP].[All]" allUniqueName="[Tabela1].[CP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2" memberValueDatatype="7" unbalanced="0">
      <fieldsUsage count="2">
        <fieldUsage x="-1"/>
        <fieldUsage x="2"/>
      </fieldsUsage>
    </cacheHierarchy>
    <cacheHierarchy uniqueName="[Tabela1].[Vendas]" caption="Vendas" attribute="1" defaultMemberUniqueName="[Tabela1].[Vendas].[All]" allUniqueName="[Tabela1].[Vendas].[All]" dimensionUniqueName="[Tabela1]" displayFolder="" count="0" memberValueDatatype="20" unbalanced="0"/>
    <cacheHierarchy uniqueName="[Tabela1].[Operador]" caption="Operador" attribute="1" defaultMemberUniqueName="[Tabela1].[Operador].[All]" allUniqueName="[Tabela1].[Operador].[All]" dimensionUniqueName="[Tabela1]" displayFolder="" count="2" memberValueDatatype="130" unbalanced="0">
      <fieldsUsage count="2">
        <fieldUsage x="-1"/>
        <fieldUsage x="0"/>
      </fieldsUsage>
    </cacheHierarchy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]" caption="Soma de Vendas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F810D-6AE8-4603-A7E5-B432D47DB716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C85:N90" firstHeaderRow="1" firstDataRow="2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oma de Vendas" fld="1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</chartFormats>
  <pivotHierarchies count="7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vaMIS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305F5-DD42-43FB-AC25-C9E0365B2F06}" name="Tabela1" displayName="Tabela1" ref="D51:G81" totalsRowShown="0">
  <autoFilter ref="D51:G81" xr:uid="{AD18EC3E-FE26-4C63-9D4B-F9ECF1B9A1D6}"/>
  <tableColumns count="4">
    <tableColumn id="1" xr3:uid="{212CF54F-EDCC-43D3-9D19-32DF5DBF7915}" name="CP" dataDxfId="3">
      <calculatedColumnFormula>_xlfn.CONCAT(TEXT(E52,"DD/MM/AAAA"),G52)</calculatedColumnFormula>
    </tableColumn>
    <tableColumn id="2" xr3:uid="{642F9A16-AA0E-45D3-B986-3708D974B8EC}" name="Data" dataDxfId="2"/>
    <tableColumn id="3" xr3:uid="{5B50AB65-A7D5-4D6B-BA18-360ABACE9F33}" name="Vendas" dataDxfId="1"/>
    <tableColumn id="4" xr3:uid="{EA4B8F31-A4CB-4CED-BB7A-0C3D5FDF3DE1}" name="Operad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2" tint="-0.749992370372631"/>
  </sheetPr>
  <dimension ref="A1:XFC261"/>
  <sheetViews>
    <sheetView showGridLines="0" tabSelected="1" topLeftCell="A33" zoomScale="80" zoomScaleNormal="80" workbookViewId="0">
      <selection activeCell="F197" sqref="F197"/>
    </sheetView>
  </sheetViews>
  <sheetFormatPr defaultColWidth="0" defaultRowHeight="18.75" customHeight="1" zeroHeight="1"/>
  <cols>
    <col min="1" max="1" width="9.7109375" style="5" customWidth="1"/>
    <col min="2" max="2" width="13.140625" style="5" customWidth="1"/>
    <col min="3" max="3" width="26.5703125" style="5" bestFit="1" customWidth="1"/>
    <col min="4" max="4" width="28.7109375" style="5" bestFit="1" customWidth="1"/>
    <col min="5" max="5" width="23" style="5" customWidth="1"/>
    <col min="6" max="6" width="22" style="5" customWidth="1"/>
    <col min="7" max="7" width="14.85546875" style="5" bestFit="1" customWidth="1"/>
    <col min="8" max="8" width="14.42578125" style="5" bestFit="1" customWidth="1"/>
    <col min="9" max="12" width="14.85546875" style="5" bestFit="1" customWidth="1"/>
    <col min="13" max="13" width="14.85546875" bestFit="1" customWidth="1"/>
    <col min="14" max="14" width="15.5703125" bestFit="1" customWidth="1"/>
    <col min="15" max="15" width="14" bestFit="1" customWidth="1"/>
    <col min="16" max="25" width="9.140625" hidden="1"/>
    <col min="26" max="16383" width="9.140625" style="5" hidden="1"/>
    <col min="16384" max="16384" width="0.140625" style="5" hidden="1"/>
  </cols>
  <sheetData>
    <row r="1" spans="1:25" s="1" customFormat="1" ht="89.25" customHeight="1"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s="3" customFormat="1" ht="3.75" customHeight="1"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/>
    <row r="4" spans="1:25" ht="24">
      <c r="C4" s="6" t="s">
        <v>0</v>
      </c>
      <c r="H4" s="7"/>
    </row>
    <row r="5" spans="1:25"/>
    <row r="6" spans="1:25" ht="24.75" customHeight="1">
      <c r="A6" s="8">
        <f>SUM($A$7:$A$300)/22</f>
        <v>0</v>
      </c>
      <c r="B6" s="9" t="s">
        <v>1</v>
      </c>
      <c r="C6" s="78" t="s">
        <v>100</v>
      </c>
      <c r="D6" s="78"/>
      <c r="E6" s="78"/>
      <c r="F6" s="78"/>
      <c r="G6" s="78"/>
      <c r="H6" s="78"/>
      <c r="I6" s="78"/>
      <c r="J6" s="78"/>
      <c r="K6" s="78"/>
      <c r="L6" s="78"/>
    </row>
    <row r="7" spans="1:25"/>
    <row r="8" spans="1:25" ht="25.5" customHeight="1">
      <c r="B8" s="9">
        <v>1</v>
      </c>
      <c r="C8" s="10" t="s">
        <v>2</v>
      </c>
      <c r="D8" s="11"/>
      <c r="E8" s="11"/>
      <c r="F8" s="11"/>
      <c r="G8" s="11"/>
      <c r="H8" s="11"/>
      <c r="I8" s="11"/>
      <c r="J8" s="11"/>
      <c r="K8" s="11"/>
      <c r="L8" s="11"/>
    </row>
    <row r="9" spans="1:25"/>
    <row r="10" spans="1:25" ht="21">
      <c r="C10" s="12" t="s">
        <v>3</v>
      </c>
      <c r="D10" s="13">
        <v>43525</v>
      </c>
      <c r="E10" s="13">
        <v>43556</v>
      </c>
      <c r="F10" s="13">
        <v>43586</v>
      </c>
      <c r="G10" s="13">
        <v>43617</v>
      </c>
      <c r="H10" s="14" t="s">
        <v>4</v>
      </c>
      <c r="I10" s="14" t="s">
        <v>5</v>
      </c>
    </row>
    <row r="11" spans="1:25" ht="21">
      <c r="C11" s="12" t="s">
        <v>6</v>
      </c>
      <c r="D11" s="15">
        <v>112</v>
      </c>
      <c r="E11" s="15">
        <v>97</v>
      </c>
      <c r="F11" s="15">
        <v>89</v>
      </c>
      <c r="G11" s="16">
        <v>103</v>
      </c>
      <c r="H11" s="17">
        <f>SUM(D11:G11)</f>
        <v>401</v>
      </c>
      <c r="I11" s="17">
        <f>AVERAGE(D11:G11)</f>
        <v>100.25</v>
      </c>
    </row>
    <row r="12" spans="1:25" ht="21">
      <c r="C12" s="12" t="s">
        <v>7</v>
      </c>
      <c r="D12" s="15">
        <v>23</v>
      </c>
      <c r="E12" s="15">
        <v>25</v>
      </c>
      <c r="F12" s="15">
        <v>37</v>
      </c>
      <c r="G12" s="16">
        <v>42</v>
      </c>
      <c r="H12" s="17">
        <f t="shared" ref="H12:H14" si="0">SUM(D12:G12)</f>
        <v>127</v>
      </c>
      <c r="I12" s="17">
        <f t="shared" ref="I12:I14" si="1">AVERAGE(D12:G12)</f>
        <v>31.75</v>
      </c>
    </row>
    <row r="13" spans="1:25" ht="21">
      <c r="C13" s="12" t="s">
        <v>8</v>
      </c>
      <c r="D13" s="15">
        <v>78</v>
      </c>
      <c r="E13" s="15">
        <v>80</v>
      </c>
      <c r="F13" s="15">
        <v>71</v>
      </c>
      <c r="G13" s="16">
        <v>93</v>
      </c>
      <c r="H13" s="17">
        <f t="shared" si="0"/>
        <v>322</v>
      </c>
      <c r="I13" s="17">
        <f t="shared" si="1"/>
        <v>80.5</v>
      </c>
    </row>
    <row r="14" spans="1:25" ht="21">
      <c r="C14" s="12" t="s">
        <v>9</v>
      </c>
      <c r="D14" s="18">
        <v>10</v>
      </c>
      <c r="E14" s="18">
        <v>8</v>
      </c>
      <c r="F14" s="18">
        <v>12</v>
      </c>
      <c r="G14" s="19">
        <v>15</v>
      </c>
      <c r="H14" s="17">
        <f t="shared" si="0"/>
        <v>45</v>
      </c>
      <c r="I14" s="17">
        <f t="shared" si="1"/>
        <v>11.25</v>
      </c>
    </row>
    <row r="15" spans="1:25" ht="21">
      <c r="C15" s="12" t="s">
        <v>4</v>
      </c>
      <c r="D15" s="17">
        <f>SUM(D11:D14)</f>
        <v>223</v>
      </c>
      <c r="E15" s="17">
        <f t="shared" ref="E15:G15" si="2">SUM(E11:E14)</f>
        <v>210</v>
      </c>
      <c r="F15" s="17">
        <f t="shared" si="2"/>
        <v>209</v>
      </c>
      <c r="G15" s="17">
        <f t="shared" si="2"/>
        <v>253</v>
      </c>
      <c r="H15"/>
      <c r="I15"/>
    </row>
    <row r="16" spans="1:25" ht="21">
      <c r="C16" s="12" t="s">
        <v>5</v>
      </c>
      <c r="D16" s="17">
        <f>AVERAGE(D11:D14)</f>
        <v>55.75</v>
      </c>
      <c r="E16" s="17">
        <f t="shared" ref="E16:G16" si="3">AVERAGE(E11:E14)</f>
        <v>52.5</v>
      </c>
      <c r="F16" s="17">
        <f t="shared" si="3"/>
        <v>52.25</v>
      </c>
      <c r="G16" s="17">
        <f t="shared" si="3"/>
        <v>63.25</v>
      </c>
      <c r="H16"/>
      <c r="I16"/>
    </row>
    <row r="17" spans="2:12"/>
    <row r="18" spans="2:12" ht="25.5" customHeight="1">
      <c r="B18" s="9">
        <v>2</v>
      </c>
      <c r="C18" s="10" t="s">
        <v>10</v>
      </c>
      <c r="D18" s="11"/>
      <c r="E18" s="11"/>
      <c r="F18" s="11"/>
      <c r="G18" s="11"/>
      <c r="H18" s="11"/>
      <c r="I18" s="11"/>
      <c r="J18" s="11"/>
      <c r="K18" s="11"/>
      <c r="L18" s="11"/>
    </row>
    <row r="19" spans="2:12"/>
    <row r="20" spans="2:12" ht="21">
      <c r="D20" s="14" t="s">
        <v>11</v>
      </c>
    </row>
    <row r="21" spans="2:12"/>
    <row r="22" spans="2:12" ht="23.25">
      <c r="C22" s="20" t="s">
        <v>12</v>
      </c>
      <c r="D22" s="21" t="str">
        <f>LEFT(D20,3)</f>
        <v>JAN</v>
      </c>
      <c r="E22" s="5" t="str">
        <f>MID(D20,1,3)</f>
        <v>JAN</v>
      </c>
    </row>
    <row r="23" spans="2:12"/>
    <row r="24" spans="2:12" ht="25.5" customHeight="1">
      <c r="B24" s="9">
        <v>3</v>
      </c>
      <c r="C24" s="10" t="s">
        <v>13</v>
      </c>
      <c r="D24" s="11"/>
      <c r="E24" s="11"/>
      <c r="F24" s="11"/>
      <c r="G24" s="11"/>
      <c r="H24" s="11"/>
      <c r="I24" s="11"/>
      <c r="J24" s="11"/>
      <c r="K24" s="11"/>
      <c r="L24" s="11"/>
    </row>
    <row r="25" spans="2:12"/>
    <row r="26" spans="2:12" ht="21" customHeight="1">
      <c r="D26" s="14" t="s">
        <v>101</v>
      </c>
    </row>
    <row r="27" spans="2:12" ht="24.75" customHeight="1"/>
    <row r="28" spans="2:12" ht="25.5" customHeight="1">
      <c r="B28" s="9">
        <v>4</v>
      </c>
      <c r="C28" s="10" t="s">
        <v>14</v>
      </c>
      <c r="D28" s="11"/>
      <c r="E28" s="11"/>
      <c r="F28" s="11"/>
      <c r="G28" s="11"/>
      <c r="H28" s="11"/>
      <c r="I28" s="11"/>
      <c r="J28" s="11"/>
      <c r="K28" s="11"/>
      <c r="L28" s="11"/>
    </row>
    <row r="29" spans="2:12"/>
    <row r="30" spans="2:12" ht="42">
      <c r="C30" s="22" t="s">
        <v>3</v>
      </c>
      <c r="D30" s="23">
        <v>43586</v>
      </c>
      <c r="E30" s="23">
        <v>43617</v>
      </c>
      <c r="F30" s="24" t="s">
        <v>15</v>
      </c>
      <c r="I30"/>
    </row>
    <row r="31" spans="2:12" ht="21">
      <c r="C31" s="12" t="s">
        <v>6</v>
      </c>
      <c r="D31" s="25">
        <v>89</v>
      </c>
      <c r="E31" s="26">
        <v>103</v>
      </c>
      <c r="F31" s="27">
        <f>E31/D31-1</f>
        <v>0.15730337078651679</v>
      </c>
      <c r="G31" s="28"/>
      <c r="H31" s="5" t="s">
        <v>102</v>
      </c>
      <c r="I31"/>
    </row>
    <row r="32" spans="2:12" ht="21">
      <c r="C32" s="12" t="s">
        <v>7</v>
      </c>
      <c r="D32" s="25">
        <v>37</v>
      </c>
      <c r="E32" s="26">
        <v>42</v>
      </c>
      <c r="F32" s="27">
        <f t="shared" ref="F32:F35" si="4">E32/D32-1</f>
        <v>0.13513513513513509</v>
      </c>
      <c r="I32"/>
    </row>
    <row r="33" spans="2:12" ht="21">
      <c r="C33" s="12" t="s">
        <v>8</v>
      </c>
      <c r="D33" s="25">
        <v>71</v>
      </c>
      <c r="E33" s="26">
        <v>93</v>
      </c>
      <c r="F33" s="27">
        <f t="shared" si="4"/>
        <v>0.3098591549295775</v>
      </c>
      <c r="I33"/>
    </row>
    <row r="34" spans="2:12" ht="21">
      <c r="C34" s="12" t="s">
        <v>9</v>
      </c>
      <c r="D34" s="29">
        <v>12</v>
      </c>
      <c r="E34" s="30">
        <v>15</v>
      </c>
      <c r="F34" s="27">
        <f t="shared" si="4"/>
        <v>0.25</v>
      </c>
      <c r="I34"/>
    </row>
    <row r="35" spans="2:12" ht="21">
      <c r="C35" s="12" t="s">
        <v>4</v>
      </c>
      <c r="D35" s="31">
        <v>209</v>
      </c>
      <c r="E35" s="31">
        <v>253</v>
      </c>
      <c r="F35" s="27">
        <f t="shared" si="4"/>
        <v>0.21052631578947367</v>
      </c>
      <c r="I35"/>
    </row>
    <row r="36" spans="2:12">
      <c r="C36"/>
      <c r="D36"/>
      <c r="E36"/>
      <c r="F36"/>
      <c r="G36"/>
      <c r="H36"/>
      <c r="I36"/>
    </row>
    <row r="37" spans="2:12" ht="25.5" customHeight="1">
      <c r="B37" s="9">
        <v>5</v>
      </c>
      <c r="C37" s="10" t="s">
        <v>16</v>
      </c>
      <c r="D37" s="11"/>
      <c r="E37" s="11"/>
      <c r="F37" s="11"/>
      <c r="G37" s="11"/>
      <c r="H37" s="11"/>
      <c r="I37" s="11"/>
      <c r="J37" s="11"/>
      <c r="K37" s="11"/>
      <c r="L37" s="11"/>
    </row>
    <row r="38" spans="2:12"/>
    <row r="39" spans="2:12" ht="42" customHeight="1">
      <c r="C39" s="22" t="s">
        <v>3</v>
      </c>
      <c r="D39" s="23">
        <v>43617</v>
      </c>
      <c r="E39" s="24" t="s">
        <v>17</v>
      </c>
      <c r="G39" s="32"/>
      <c r="H39" s="32"/>
      <c r="I39"/>
    </row>
    <row r="40" spans="2:12" ht="23.25">
      <c r="C40" s="12" t="s">
        <v>6</v>
      </c>
      <c r="D40" s="26">
        <v>103</v>
      </c>
      <c r="E40" s="33">
        <f>D40/$D$44</f>
        <v>0.40711462450592883</v>
      </c>
      <c r="I40"/>
    </row>
    <row r="41" spans="2:12" ht="24">
      <c r="C41" s="12" t="s">
        <v>7</v>
      </c>
      <c r="D41" s="26">
        <v>42</v>
      </c>
      <c r="E41" s="33">
        <f t="shared" ref="E41:E44" si="5">D41/$D$44</f>
        <v>0.16600790513833993</v>
      </c>
      <c r="G41" s="34"/>
      <c r="I41"/>
    </row>
    <row r="42" spans="2:12" ht="23.25">
      <c r="C42" s="12" t="s">
        <v>8</v>
      </c>
      <c r="D42" s="26">
        <v>93</v>
      </c>
      <c r="E42" s="33">
        <f t="shared" si="5"/>
        <v>0.3675889328063241</v>
      </c>
      <c r="G42" s="35"/>
      <c r="I42"/>
    </row>
    <row r="43" spans="2:12" ht="23.25">
      <c r="C43" s="12" t="s">
        <v>9</v>
      </c>
      <c r="D43" s="30">
        <v>15</v>
      </c>
      <c r="E43" s="33">
        <f t="shared" si="5"/>
        <v>5.9288537549407112E-2</v>
      </c>
      <c r="I43"/>
    </row>
    <row r="44" spans="2:12" ht="23.25">
      <c r="C44" s="12" t="s">
        <v>4</v>
      </c>
      <c r="D44" s="31">
        <v>253</v>
      </c>
      <c r="E44" s="33">
        <f t="shared" si="5"/>
        <v>1</v>
      </c>
      <c r="I44"/>
    </row>
    <row r="45" spans="2:12"/>
    <row r="46" spans="2:12" ht="25.5" customHeight="1">
      <c r="B46" s="9">
        <v>6</v>
      </c>
      <c r="C46" s="10" t="s">
        <v>18</v>
      </c>
      <c r="D46" s="11"/>
      <c r="E46" s="11"/>
      <c r="F46" s="11"/>
      <c r="G46" s="11"/>
      <c r="H46" s="11"/>
      <c r="I46" s="11"/>
      <c r="J46" s="11"/>
      <c r="K46" s="11"/>
      <c r="L46" s="11"/>
    </row>
    <row r="47" spans="2:12"/>
    <row r="48" spans="2:12" ht="21">
      <c r="C48" s="10" t="s">
        <v>19</v>
      </c>
      <c r="D48" s="10" t="s">
        <v>20</v>
      </c>
      <c r="E48" s="1"/>
      <c r="F48" s="1"/>
      <c r="G48" s="1"/>
      <c r="H48" s="1"/>
      <c r="I48" s="1"/>
      <c r="J48"/>
      <c r="K48"/>
    </row>
    <row r="49" spans="3:9" ht="21">
      <c r="C49" s="10" t="s">
        <v>21</v>
      </c>
      <c r="D49" s="10" t="s">
        <v>22</v>
      </c>
      <c r="E49" s="1"/>
      <c r="F49" s="1"/>
      <c r="G49" s="1"/>
      <c r="H49" s="1"/>
      <c r="I49" s="1"/>
    </row>
    <row r="50" spans="3:9"/>
    <row r="51" spans="3:9" ht="42">
      <c r="C51" s="20" t="s">
        <v>23</v>
      </c>
      <c r="D51" s="36" t="s">
        <v>24</v>
      </c>
      <c r="E51" s="23" t="s">
        <v>25</v>
      </c>
      <c r="F51" s="23" t="s">
        <v>26</v>
      </c>
      <c r="G51" s="24" t="s">
        <v>27</v>
      </c>
      <c r="H51"/>
    </row>
    <row r="52" spans="3:9" ht="21">
      <c r="D52" s="37" t="str">
        <f t="shared" ref="D52:D81" si="6">_xlfn.CONCAT(TEXT(E52,"DD/MM/AAAA"),G52)</f>
        <v>17/03/2019Peter</v>
      </c>
      <c r="E52" s="38">
        <v>43541</v>
      </c>
      <c r="F52" s="39">
        <v>4</v>
      </c>
      <c r="G52" s="39" t="s">
        <v>28</v>
      </c>
      <c r="H52"/>
    </row>
    <row r="53" spans="3:9" ht="21">
      <c r="D53" s="37" t="str">
        <f t="shared" si="6"/>
        <v>18/03/2019Peter</v>
      </c>
      <c r="E53" s="38">
        <v>43542</v>
      </c>
      <c r="F53" s="39">
        <v>4</v>
      </c>
      <c r="G53" s="39" t="s">
        <v>28</v>
      </c>
      <c r="H53"/>
    </row>
    <row r="54" spans="3:9" ht="21">
      <c r="D54" s="37" t="str">
        <f t="shared" si="6"/>
        <v>19/03/2019Peter</v>
      </c>
      <c r="E54" s="38">
        <v>43543</v>
      </c>
      <c r="F54" s="39">
        <v>4</v>
      </c>
      <c r="G54" s="39" t="s">
        <v>28</v>
      </c>
      <c r="H54"/>
    </row>
    <row r="55" spans="3:9" ht="21">
      <c r="D55" s="37" t="str">
        <f t="shared" si="6"/>
        <v>20/03/2019Peter</v>
      </c>
      <c r="E55" s="38">
        <v>43544</v>
      </c>
      <c r="F55" s="39">
        <v>8</v>
      </c>
      <c r="G55" s="39" t="s">
        <v>28</v>
      </c>
      <c r="H55"/>
    </row>
    <row r="56" spans="3:9" ht="21">
      <c r="D56" s="37" t="str">
        <f t="shared" si="6"/>
        <v>21/03/2019Peter</v>
      </c>
      <c r="E56" s="38">
        <v>43545</v>
      </c>
      <c r="F56" s="39">
        <v>1</v>
      </c>
      <c r="G56" s="39" t="s">
        <v>28</v>
      </c>
      <c r="H56"/>
    </row>
    <row r="57" spans="3:9" ht="21">
      <c r="D57" s="37" t="str">
        <f t="shared" si="6"/>
        <v>22/03/2019Peter</v>
      </c>
      <c r="E57" s="38">
        <v>43546</v>
      </c>
      <c r="F57" s="39">
        <v>6</v>
      </c>
      <c r="G57" s="39" t="s">
        <v>28</v>
      </c>
      <c r="H57"/>
    </row>
    <row r="58" spans="3:9" ht="21">
      <c r="D58" s="37" t="str">
        <f t="shared" si="6"/>
        <v>23/03/2019Peter</v>
      </c>
      <c r="E58" s="38">
        <v>43547</v>
      </c>
      <c r="F58" s="39">
        <v>8</v>
      </c>
      <c r="G58" s="39" t="s">
        <v>28</v>
      </c>
      <c r="H58"/>
    </row>
    <row r="59" spans="3:9" ht="21">
      <c r="D59" s="37" t="str">
        <f t="shared" si="6"/>
        <v>24/03/2019Peter</v>
      </c>
      <c r="E59" s="38">
        <v>43548</v>
      </c>
      <c r="F59" s="39">
        <v>9</v>
      </c>
      <c r="G59" s="39" t="s">
        <v>28</v>
      </c>
      <c r="H59"/>
    </row>
    <row r="60" spans="3:9" ht="21">
      <c r="D60" s="37" t="str">
        <f t="shared" si="6"/>
        <v>25/03/2019Peter</v>
      </c>
      <c r="E60" s="38">
        <v>43549</v>
      </c>
      <c r="F60" s="39">
        <v>0</v>
      </c>
      <c r="G60" s="39" t="s">
        <v>28</v>
      </c>
      <c r="H60"/>
    </row>
    <row r="61" spans="3:9" ht="21">
      <c r="D61" s="37" t="str">
        <f t="shared" si="6"/>
        <v>26/03/2019Peter</v>
      </c>
      <c r="E61" s="38">
        <v>43550</v>
      </c>
      <c r="F61" s="39">
        <v>2</v>
      </c>
      <c r="G61" s="39" t="s">
        <v>28</v>
      </c>
      <c r="H61"/>
    </row>
    <row r="62" spans="3:9" ht="21">
      <c r="D62" s="37" t="str">
        <f t="shared" si="6"/>
        <v>17/03/2019Bill</v>
      </c>
      <c r="E62" s="38">
        <v>43541</v>
      </c>
      <c r="F62" s="39">
        <v>3</v>
      </c>
      <c r="G62" s="39" t="s">
        <v>29</v>
      </c>
      <c r="H62"/>
    </row>
    <row r="63" spans="3:9" ht="21">
      <c r="D63" s="37" t="str">
        <f t="shared" si="6"/>
        <v>18/03/2019Bill</v>
      </c>
      <c r="E63" s="38">
        <v>43542</v>
      </c>
      <c r="F63" s="39">
        <v>0</v>
      </c>
      <c r="G63" s="39" t="s">
        <v>29</v>
      </c>
      <c r="H63"/>
    </row>
    <row r="64" spans="3:9" ht="21">
      <c r="D64" s="37" t="str">
        <f t="shared" si="6"/>
        <v>19/03/2019Bill</v>
      </c>
      <c r="E64" s="38">
        <v>43543</v>
      </c>
      <c r="F64" s="39">
        <v>10</v>
      </c>
      <c r="G64" s="39" t="s">
        <v>29</v>
      </c>
      <c r="H64"/>
    </row>
    <row r="65" spans="4:8" ht="21">
      <c r="D65" s="37" t="str">
        <f t="shared" si="6"/>
        <v>20/03/2019Bill</v>
      </c>
      <c r="E65" s="38">
        <v>43544</v>
      </c>
      <c r="F65" s="39">
        <v>7</v>
      </c>
      <c r="G65" s="39" t="s">
        <v>29</v>
      </c>
      <c r="H65"/>
    </row>
    <row r="66" spans="4:8" ht="21">
      <c r="D66" s="37" t="str">
        <f t="shared" si="6"/>
        <v>21/03/2019Bill</v>
      </c>
      <c r="E66" s="38">
        <v>43545</v>
      </c>
      <c r="F66" s="39">
        <v>2</v>
      </c>
      <c r="G66" s="39" t="s">
        <v>29</v>
      </c>
      <c r="H66"/>
    </row>
    <row r="67" spans="4:8" ht="21">
      <c r="D67" s="37" t="str">
        <f t="shared" si="6"/>
        <v>22/03/2019Bill</v>
      </c>
      <c r="E67" s="38">
        <v>43546</v>
      </c>
      <c r="F67" s="39">
        <v>4</v>
      </c>
      <c r="G67" s="39" t="s">
        <v>29</v>
      </c>
      <c r="H67"/>
    </row>
    <row r="68" spans="4:8" ht="21">
      <c r="D68" s="37" t="str">
        <f t="shared" si="6"/>
        <v>23/03/2019Bill</v>
      </c>
      <c r="E68" s="38">
        <v>43547</v>
      </c>
      <c r="F68" s="39">
        <v>10</v>
      </c>
      <c r="G68" s="39" t="s">
        <v>29</v>
      </c>
      <c r="H68"/>
    </row>
    <row r="69" spans="4:8" ht="21">
      <c r="D69" s="37" t="str">
        <f t="shared" si="6"/>
        <v>24/03/2019Bill</v>
      </c>
      <c r="E69" s="38">
        <v>43548</v>
      </c>
      <c r="F69" s="39">
        <v>4</v>
      </c>
      <c r="G69" s="39" t="s">
        <v>29</v>
      </c>
      <c r="H69"/>
    </row>
    <row r="70" spans="4:8" ht="21">
      <c r="D70" s="37" t="str">
        <f t="shared" si="6"/>
        <v>25/03/2019Bill</v>
      </c>
      <c r="E70" s="38">
        <v>43549</v>
      </c>
      <c r="F70" s="39">
        <v>0</v>
      </c>
      <c r="G70" s="39" t="s">
        <v>29</v>
      </c>
      <c r="H70"/>
    </row>
    <row r="71" spans="4:8" ht="21">
      <c r="D71" s="37" t="str">
        <f t="shared" si="6"/>
        <v>26/03/2019Bill</v>
      </c>
      <c r="E71" s="38">
        <v>43550</v>
      </c>
      <c r="F71" s="39">
        <v>4</v>
      </c>
      <c r="G71" s="39" t="s">
        <v>29</v>
      </c>
      <c r="H71"/>
    </row>
    <row r="72" spans="4:8" ht="21">
      <c r="D72" s="37" t="str">
        <f t="shared" si="6"/>
        <v>17/03/2019Jack</v>
      </c>
      <c r="E72" s="38">
        <v>43541</v>
      </c>
      <c r="F72" s="39">
        <v>9</v>
      </c>
      <c r="G72" s="39" t="s">
        <v>30</v>
      </c>
      <c r="H72"/>
    </row>
    <row r="73" spans="4:8" ht="21">
      <c r="D73" s="37" t="str">
        <f t="shared" si="6"/>
        <v>18/03/2019Jack</v>
      </c>
      <c r="E73" s="38">
        <v>43542</v>
      </c>
      <c r="F73" s="39">
        <v>7</v>
      </c>
      <c r="G73" s="39" t="s">
        <v>30</v>
      </c>
      <c r="H73"/>
    </row>
    <row r="74" spans="4:8" ht="21">
      <c r="D74" s="37" t="str">
        <f t="shared" si="6"/>
        <v>19/03/2019Jack</v>
      </c>
      <c r="E74" s="38">
        <v>43543</v>
      </c>
      <c r="F74" s="39">
        <v>10</v>
      </c>
      <c r="G74" s="39" t="s">
        <v>30</v>
      </c>
      <c r="H74"/>
    </row>
    <row r="75" spans="4:8" ht="21">
      <c r="D75" s="37" t="str">
        <f t="shared" si="6"/>
        <v>20/03/2019Jack</v>
      </c>
      <c r="E75" s="38">
        <v>43544</v>
      </c>
      <c r="F75" s="39">
        <v>2</v>
      </c>
      <c r="G75" s="39" t="s">
        <v>30</v>
      </c>
      <c r="H75"/>
    </row>
    <row r="76" spans="4:8" ht="21">
      <c r="D76" s="37" t="str">
        <f t="shared" si="6"/>
        <v>21/03/2019Jack</v>
      </c>
      <c r="E76" s="38">
        <v>43545</v>
      </c>
      <c r="F76" s="39">
        <v>8</v>
      </c>
      <c r="G76" s="39" t="s">
        <v>30</v>
      </c>
      <c r="H76"/>
    </row>
    <row r="77" spans="4:8" ht="21">
      <c r="D77" s="37" t="str">
        <f t="shared" si="6"/>
        <v>22/03/2019Jack</v>
      </c>
      <c r="E77" s="38">
        <v>43546</v>
      </c>
      <c r="F77" s="39">
        <v>5</v>
      </c>
      <c r="G77" s="39" t="s">
        <v>30</v>
      </c>
      <c r="H77"/>
    </row>
    <row r="78" spans="4:8" ht="21">
      <c r="D78" s="37" t="str">
        <f t="shared" si="6"/>
        <v>23/03/2019Jack</v>
      </c>
      <c r="E78" s="38">
        <v>43547</v>
      </c>
      <c r="F78" s="39">
        <v>2</v>
      </c>
      <c r="G78" s="39" t="s">
        <v>30</v>
      </c>
      <c r="H78"/>
    </row>
    <row r="79" spans="4:8" ht="21">
      <c r="D79" s="37" t="str">
        <f t="shared" si="6"/>
        <v>24/03/2019Jack</v>
      </c>
      <c r="E79" s="38">
        <v>43548</v>
      </c>
      <c r="F79" s="39">
        <v>3</v>
      </c>
      <c r="G79" s="39" t="s">
        <v>30</v>
      </c>
      <c r="H79"/>
    </row>
    <row r="80" spans="4:8" ht="21">
      <c r="D80" s="37" t="str">
        <f t="shared" si="6"/>
        <v>25/03/2019Jack</v>
      </c>
      <c r="E80" s="38">
        <v>43549</v>
      </c>
      <c r="F80" s="39">
        <v>0</v>
      </c>
      <c r="G80" s="39" t="s">
        <v>30</v>
      </c>
      <c r="H80"/>
    </row>
    <row r="81" spans="2:44" ht="21">
      <c r="D81" s="37" t="str">
        <f t="shared" si="6"/>
        <v>26/03/2019Jack</v>
      </c>
      <c r="E81" s="38">
        <v>43550</v>
      </c>
      <c r="F81" s="39">
        <v>3</v>
      </c>
      <c r="G81" s="39" t="s">
        <v>30</v>
      </c>
      <c r="H81"/>
    </row>
    <row r="82" spans="2:44"/>
    <row r="83" spans="2:44" ht="25.5" customHeight="1">
      <c r="B83" s="9">
        <v>7</v>
      </c>
      <c r="C83" s="10" t="s">
        <v>31</v>
      </c>
      <c r="D83" s="11"/>
      <c r="E83" s="11"/>
      <c r="F83" s="11"/>
      <c r="G83" s="11"/>
      <c r="H83" s="11"/>
      <c r="I83" s="11"/>
      <c r="J83" s="11"/>
      <c r="K83" s="11"/>
      <c r="L83" s="11"/>
    </row>
    <row r="84" spans="2:44"/>
    <row r="85" spans="2:44">
      <c r="C85" s="71" t="s">
        <v>105</v>
      </c>
      <c r="D85" s="71" t="s">
        <v>106</v>
      </c>
      <c r="E85"/>
      <c r="F85"/>
      <c r="G85"/>
      <c r="H85"/>
      <c r="I85"/>
      <c r="J85"/>
      <c r="K85"/>
      <c r="L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2:44">
      <c r="C86" s="71" t="s">
        <v>103</v>
      </c>
      <c r="D86" s="74">
        <v>43541</v>
      </c>
      <c r="E86" s="74">
        <v>43542</v>
      </c>
      <c r="F86" s="74">
        <v>43543</v>
      </c>
      <c r="G86" s="74">
        <v>43544</v>
      </c>
      <c r="H86" s="74">
        <v>43545</v>
      </c>
      <c r="I86" s="74">
        <v>43546</v>
      </c>
      <c r="J86" s="74">
        <v>43547</v>
      </c>
      <c r="K86" s="74">
        <v>43548</v>
      </c>
      <c r="L86" s="74">
        <v>43549</v>
      </c>
      <c r="M86" s="74">
        <v>43550</v>
      </c>
      <c r="N86" t="s">
        <v>104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2:44">
      <c r="C87" s="72" t="s">
        <v>29</v>
      </c>
      <c r="D87" s="73">
        <v>3</v>
      </c>
      <c r="E87" s="73">
        <v>0</v>
      </c>
      <c r="F87" s="73">
        <v>10</v>
      </c>
      <c r="G87" s="73">
        <v>7</v>
      </c>
      <c r="H87" s="73">
        <v>2</v>
      </c>
      <c r="I87" s="73">
        <v>4</v>
      </c>
      <c r="J87" s="73">
        <v>10</v>
      </c>
      <c r="K87" s="73">
        <v>4</v>
      </c>
      <c r="L87" s="73">
        <v>0</v>
      </c>
      <c r="M87" s="73">
        <v>4</v>
      </c>
      <c r="N87" s="73">
        <v>44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2:44">
      <c r="C88" s="72" t="s">
        <v>30</v>
      </c>
      <c r="D88" s="73">
        <v>9</v>
      </c>
      <c r="E88" s="73">
        <v>7</v>
      </c>
      <c r="F88" s="73">
        <v>10</v>
      </c>
      <c r="G88" s="73">
        <v>2</v>
      </c>
      <c r="H88" s="73">
        <v>8</v>
      </c>
      <c r="I88" s="73">
        <v>5</v>
      </c>
      <c r="J88" s="73">
        <v>2</v>
      </c>
      <c r="K88" s="73">
        <v>3</v>
      </c>
      <c r="L88" s="73">
        <v>0</v>
      </c>
      <c r="M88" s="73">
        <v>3</v>
      </c>
      <c r="N88" s="73">
        <v>49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2:44">
      <c r="C89" s="72" t="s">
        <v>28</v>
      </c>
      <c r="D89" s="73">
        <v>4</v>
      </c>
      <c r="E89" s="73">
        <v>4</v>
      </c>
      <c r="F89" s="73">
        <v>4</v>
      </c>
      <c r="G89" s="73">
        <v>8</v>
      </c>
      <c r="H89" s="73">
        <v>1</v>
      </c>
      <c r="I89" s="73">
        <v>6</v>
      </c>
      <c r="J89" s="73">
        <v>8</v>
      </c>
      <c r="K89" s="73">
        <v>9</v>
      </c>
      <c r="L89" s="73">
        <v>0</v>
      </c>
      <c r="M89" s="73">
        <v>2</v>
      </c>
      <c r="N89" s="73">
        <v>46</v>
      </c>
    </row>
    <row r="90" spans="2:44">
      <c r="C90" s="72" t="s">
        <v>104</v>
      </c>
      <c r="D90" s="73">
        <v>16</v>
      </c>
      <c r="E90" s="73">
        <v>11</v>
      </c>
      <c r="F90" s="73">
        <v>24</v>
      </c>
      <c r="G90" s="73">
        <v>17</v>
      </c>
      <c r="H90" s="73">
        <v>11</v>
      </c>
      <c r="I90" s="73">
        <v>15</v>
      </c>
      <c r="J90" s="73">
        <v>20</v>
      </c>
      <c r="K90" s="73">
        <v>16</v>
      </c>
      <c r="L90" s="73">
        <v>0</v>
      </c>
      <c r="M90" s="73">
        <v>9</v>
      </c>
      <c r="N90" s="73">
        <v>139</v>
      </c>
    </row>
    <row r="91" spans="2:44">
      <c r="C91"/>
      <c r="D91"/>
      <c r="E91"/>
      <c r="F91"/>
      <c r="G91"/>
      <c r="H91"/>
      <c r="I91"/>
      <c r="J91"/>
      <c r="K91"/>
      <c r="L91"/>
    </row>
    <row r="92" spans="2:44">
      <c r="C92"/>
      <c r="D92"/>
      <c r="E92"/>
      <c r="F92"/>
      <c r="G92"/>
      <c r="H92"/>
      <c r="I92"/>
      <c r="J92"/>
      <c r="K92"/>
      <c r="L92"/>
    </row>
    <row r="93" spans="2:44">
      <c r="C93"/>
      <c r="D93"/>
      <c r="E93"/>
      <c r="F93"/>
      <c r="G93"/>
      <c r="H93"/>
      <c r="I93"/>
      <c r="J93"/>
      <c r="K93"/>
      <c r="L93"/>
    </row>
    <row r="94" spans="2:44">
      <c r="C94"/>
      <c r="D94"/>
      <c r="E94"/>
      <c r="F94"/>
      <c r="G94"/>
      <c r="H94"/>
      <c r="I94"/>
      <c r="J94"/>
      <c r="K94"/>
      <c r="L94"/>
    </row>
    <row r="95" spans="2:44">
      <c r="C95"/>
      <c r="D95"/>
      <c r="E95"/>
      <c r="F95"/>
      <c r="G95"/>
      <c r="H95"/>
      <c r="I95"/>
      <c r="J95"/>
      <c r="K95"/>
      <c r="L95"/>
    </row>
    <row r="96" spans="2:44">
      <c r="C96"/>
      <c r="D96"/>
      <c r="E96"/>
      <c r="F96"/>
      <c r="G96"/>
      <c r="H96"/>
      <c r="I96"/>
      <c r="J96"/>
      <c r="K96"/>
      <c r="L96"/>
    </row>
    <row r="97" spans="2:12">
      <c r="C97"/>
      <c r="D97"/>
      <c r="E97"/>
      <c r="F97"/>
      <c r="G97"/>
      <c r="H97"/>
      <c r="I97"/>
      <c r="J97"/>
      <c r="K97"/>
      <c r="L97"/>
    </row>
    <row r="98" spans="2:12">
      <c r="C98"/>
      <c r="D98"/>
      <c r="E98"/>
      <c r="F98"/>
      <c r="G98"/>
      <c r="H98"/>
      <c r="I98"/>
      <c r="J98"/>
      <c r="K98"/>
      <c r="L98"/>
    </row>
    <row r="99" spans="2:12">
      <c r="C99"/>
      <c r="D99"/>
      <c r="E99"/>
      <c r="F99"/>
      <c r="G99"/>
      <c r="H99"/>
      <c r="I99"/>
      <c r="J99"/>
      <c r="K99"/>
      <c r="L99"/>
    </row>
    <row r="100" spans="2:12">
      <c r="C100"/>
      <c r="D100"/>
      <c r="E100"/>
      <c r="F100"/>
      <c r="G100"/>
      <c r="H100"/>
      <c r="I100"/>
      <c r="J100"/>
      <c r="K100"/>
      <c r="L100"/>
    </row>
    <row r="101" spans="2:12">
      <c r="C101"/>
      <c r="D101"/>
      <c r="E101"/>
      <c r="F101"/>
      <c r="G101"/>
      <c r="H101"/>
      <c r="I101"/>
      <c r="J101"/>
      <c r="K101"/>
      <c r="L101"/>
    </row>
    <row r="102" spans="2:12">
      <c r="C102"/>
      <c r="D102"/>
      <c r="E102"/>
      <c r="F102"/>
      <c r="G102"/>
      <c r="H102"/>
      <c r="I102"/>
      <c r="J102"/>
      <c r="K102"/>
      <c r="L102"/>
    </row>
    <row r="103" spans="2:12">
      <c r="C103"/>
      <c r="D103"/>
      <c r="E103"/>
      <c r="F103"/>
      <c r="G103"/>
      <c r="H103"/>
      <c r="I103"/>
      <c r="J103"/>
      <c r="K103"/>
      <c r="L103"/>
    </row>
    <row r="104" spans="2:12">
      <c r="C104"/>
      <c r="D104"/>
      <c r="E104"/>
      <c r="F104"/>
      <c r="G104"/>
      <c r="H104"/>
      <c r="I104"/>
      <c r="J104"/>
      <c r="K104"/>
      <c r="L104"/>
    </row>
    <row r="105" spans="2:12" ht="29.25">
      <c r="B105" s="9">
        <v>8</v>
      </c>
      <c r="C105" s="10" t="s">
        <v>32</v>
      </c>
      <c r="D105" s="11"/>
      <c r="E105" s="11"/>
      <c r="F105" s="11"/>
      <c r="G105" s="11"/>
      <c r="H105" s="11"/>
      <c r="I105" s="11"/>
      <c r="J105" s="11"/>
      <c r="K105" s="11"/>
      <c r="L105" s="11"/>
    </row>
    <row r="106" spans="2:12"/>
    <row r="107" spans="2:12">
      <c r="C107" s="40"/>
      <c r="D107" s="41"/>
      <c r="E107" s="41"/>
      <c r="F107" s="41"/>
      <c r="G107" s="41"/>
      <c r="H107" s="41"/>
      <c r="I107" s="41"/>
      <c r="J107" s="41"/>
      <c r="K107" s="42"/>
    </row>
    <row r="108" spans="2:12">
      <c r="C108" s="43"/>
      <c r="D108" s="44"/>
      <c r="E108" s="44"/>
      <c r="F108" s="44"/>
      <c r="G108" s="44"/>
      <c r="H108" s="44"/>
      <c r="I108" s="44"/>
      <c r="J108" s="44"/>
      <c r="K108" s="45"/>
    </row>
    <row r="109" spans="2:12">
      <c r="C109" s="43"/>
      <c r="D109" s="44"/>
      <c r="E109" s="44"/>
      <c r="F109" s="44"/>
      <c r="G109" s="44"/>
      <c r="H109" s="44"/>
      <c r="I109" s="44"/>
      <c r="J109" s="44"/>
      <c r="K109" s="45"/>
    </row>
    <row r="110" spans="2:12">
      <c r="C110" s="43"/>
      <c r="D110" s="44"/>
      <c r="E110" s="44"/>
      <c r="F110" s="44"/>
      <c r="G110" s="44"/>
      <c r="H110" s="44"/>
      <c r="I110" s="44"/>
      <c r="J110" s="44"/>
      <c r="K110" s="45"/>
    </row>
    <row r="111" spans="2:12">
      <c r="C111" s="43"/>
      <c r="D111" s="44"/>
      <c r="E111" s="44"/>
      <c r="F111" s="44"/>
      <c r="G111" s="44"/>
      <c r="H111" s="44"/>
      <c r="I111" s="44"/>
      <c r="J111" s="44"/>
      <c r="K111" s="45"/>
    </row>
    <row r="112" spans="2:12">
      <c r="C112" s="43"/>
      <c r="D112" s="44"/>
      <c r="E112" s="44"/>
      <c r="F112" s="44"/>
      <c r="G112" s="44"/>
      <c r="H112" s="44"/>
      <c r="I112" s="44"/>
      <c r="J112" s="44"/>
      <c r="K112" s="45"/>
    </row>
    <row r="113" spans="2:12">
      <c r="C113" s="43"/>
      <c r="D113" s="44"/>
      <c r="E113" s="44"/>
      <c r="F113" s="44"/>
      <c r="G113" s="44"/>
      <c r="H113" s="44"/>
      <c r="I113" s="44"/>
      <c r="J113" s="44"/>
      <c r="K113" s="45"/>
    </row>
    <row r="114" spans="2:12">
      <c r="C114" s="43"/>
      <c r="D114" s="44"/>
      <c r="E114" s="44"/>
      <c r="F114" s="44"/>
      <c r="G114" s="44"/>
      <c r="H114" s="44"/>
      <c r="I114" s="44"/>
      <c r="J114" s="44"/>
      <c r="K114" s="45"/>
    </row>
    <row r="115" spans="2:12">
      <c r="C115" s="43"/>
      <c r="D115" s="44"/>
      <c r="E115" s="44"/>
      <c r="F115" s="44"/>
      <c r="G115" s="44"/>
      <c r="H115" s="44"/>
      <c r="I115" s="44"/>
      <c r="J115" s="44"/>
      <c r="K115" s="45"/>
    </row>
    <row r="116" spans="2:12">
      <c r="C116" s="43"/>
      <c r="D116" s="44"/>
      <c r="E116" s="44"/>
      <c r="F116" s="44"/>
      <c r="G116" s="44"/>
      <c r="H116" s="44"/>
      <c r="I116" s="44"/>
      <c r="J116" s="44"/>
      <c r="K116" s="45"/>
    </row>
    <row r="117" spans="2:12" ht="409.6" customHeight="1">
      <c r="C117" s="46"/>
      <c r="D117" s="47"/>
      <c r="E117" s="47"/>
      <c r="F117" s="47"/>
      <c r="G117" s="47"/>
      <c r="H117" s="47"/>
      <c r="I117" s="47"/>
      <c r="J117" s="47"/>
      <c r="K117" s="48"/>
    </row>
    <row r="118" spans="2:12" ht="409.6" customHeight="1"/>
    <row r="119" spans="2:12" ht="29.25">
      <c r="B119" s="9">
        <v>9</v>
      </c>
      <c r="C119" s="10" t="s">
        <v>33</v>
      </c>
      <c r="D119" s="11"/>
      <c r="E119" s="11"/>
      <c r="F119" s="11"/>
      <c r="G119" s="11"/>
      <c r="H119" s="11"/>
      <c r="I119" s="11"/>
      <c r="J119" s="11"/>
      <c r="K119" s="11"/>
      <c r="L119" s="11"/>
    </row>
    <row r="120" spans="2:12"/>
    <row r="121" spans="2:12" ht="21">
      <c r="C121" s="24" t="s">
        <v>27</v>
      </c>
      <c r="D121" s="24" t="s">
        <v>26</v>
      </c>
    </row>
    <row r="122" spans="2:12" ht="20.25">
      <c r="C122" s="39" t="s">
        <v>28</v>
      </c>
      <c r="D122" s="49">
        <f>SUMIF(Tabela1[Operador],C122,Tabela1[Vendas])</f>
        <v>46</v>
      </c>
    </row>
    <row r="123" spans="2:12" ht="20.25">
      <c r="C123" s="39" t="s">
        <v>29</v>
      </c>
      <c r="D123" s="49">
        <f>SUMIF(Tabela1[Operador],C123,Tabela1[Vendas])</f>
        <v>44</v>
      </c>
    </row>
    <row r="124" spans="2:12" ht="20.25">
      <c r="C124" s="39" t="s">
        <v>30</v>
      </c>
      <c r="D124" s="49">
        <f>SUMIF(Tabela1[Operador],C124,Tabela1[Vendas])</f>
        <v>49</v>
      </c>
    </row>
    <row r="125" spans="2:12"/>
    <row r="126" spans="2:12" ht="25.5" customHeight="1">
      <c r="B126" s="9">
        <v>10</v>
      </c>
      <c r="C126" s="10" t="s">
        <v>34</v>
      </c>
      <c r="D126" s="11"/>
      <c r="E126" s="11"/>
      <c r="F126" s="11"/>
      <c r="G126" s="11"/>
      <c r="H126" s="11"/>
      <c r="I126" s="11"/>
      <c r="J126" s="11"/>
      <c r="K126" s="11"/>
      <c r="L126" s="11"/>
    </row>
    <row r="127" spans="2:12"/>
    <row r="128" spans="2:12" ht="21">
      <c r="C128" s="24" t="s">
        <v>27</v>
      </c>
      <c r="D128" s="24" t="s">
        <v>26</v>
      </c>
    </row>
    <row r="129" spans="2:12">
      <c r="C129" s="39" t="s">
        <v>28</v>
      </c>
      <c r="D129" s="50">
        <f>AVERAGEIF(Tabela1[Operador],C129,Tabela1[Vendas])</f>
        <v>4.5999999999999996</v>
      </c>
    </row>
    <row r="130" spans="2:12">
      <c r="C130" s="39" t="s">
        <v>29</v>
      </c>
      <c r="D130" s="50">
        <f>SUMIF(Tabela1[Operador],C130,Tabela1[Vendas])/COUNTIF(Tabela1[Operador],C131)</f>
        <v>4.4000000000000004</v>
      </c>
    </row>
    <row r="131" spans="2:12">
      <c r="C131" s="39" t="s">
        <v>30</v>
      </c>
      <c r="D131" s="50">
        <f>SUMIF(Tabela1[Operador],C131,Tabela1[Vendas])/COUNTIF(Tabela1[Operador],C131)</f>
        <v>4.9000000000000004</v>
      </c>
    </row>
    <row r="132" spans="2:12"/>
    <row r="133" spans="2:12" ht="25.5" customHeight="1">
      <c r="B133" s="9">
        <v>11</v>
      </c>
      <c r="C133" s="10" t="s">
        <v>35</v>
      </c>
      <c r="D133" s="11"/>
      <c r="E133" s="11"/>
      <c r="F133" s="11"/>
      <c r="G133" s="11"/>
      <c r="H133" s="11"/>
      <c r="I133" s="11"/>
      <c r="J133" s="11"/>
      <c r="K133" s="11"/>
      <c r="L133" s="11"/>
    </row>
    <row r="134" spans="2:12"/>
    <row r="135" spans="2:12" ht="21">
      <c r="C135" s="24" t="s">
        <v>27</v>
      </c>
      <c r="D135" s="24" t="s">
        <v>26</v>
      </c>
    </row>
    <row r="136" spans="2:12">
      <c r="C136" s="38">
        <v>43541</v>
      </c>
      <c r="D136" s="50">
        <f>SUMIFS($F$52:$F$81,$E$52:$E$81,C136)</f>
        <v>16</v>
      </c>
      <c r="E136" s="75">
        <f>SUMIF(Tabela1[Data],C136,Tabela1[Vendas])</f>
        <v>16</v>
      </c>
    </row>
    <row r="137" spans="2:12">
      <c r="C137" s="38">
        <v>43542</v>
      </c>
      <c r="D137" s="50">
        <f t="shared" ref="D137:D145" si="7">SUMIFS($F$52:$F$81,$E$52:$E$81,C137)</f>
        <v>11</v>
      </c>
      <c r="E137" s="75">
        <f>SUMIF(Tabela1[Data],C137,Tabela1[Vendas])</f>
        <v>11</v>
      </c>
    </row>
    <row r="138" spans="2:12">
      <c r="C138" s="38">
        <v>43543</v>
      </c>
      <c r="D138" s="50">
        <f t="shared" si="7"/>
        <v>24</v>
      </c>
      <c r="E138" s="75">
        <f>SUMIF(Tabela1[Data],C138,Tabela1[Vendas])</f>
        <v>24</v>
      </c>
    </row>
    <row r="139" spans="2:12">
      <c r="C139" s="38">
        <v>43544</v>
      </c>
      <c r="D139" s="50">
        <f t="shared" si="7"/>
        <v>17</v>
      </c>
      <c r="E139" s="75">
        <f>SUMIF(Tabela1[Data],C139,Tabela1[Vendas])</f>
        <v>17</v>
      </c>
    </row>
    <row r="140" spans="2:12">
      <c r="C140" s="38">
        <v>43545</v>
      </c>
      <c r="D140" s="50">
        <f t="shared" si="7"/>
        <v>11</v>
      </c>
      <c r="E140" s="75">
        <f>SUMIF(Tabela1[Data],C140,Tabela1[Vendas])</f>
        <v>11</v>
      </c>
    </row>
    <row r="141" spans="2:12">
      <c r="C141" s="38">
        <v>43546</v>
      </c>
      <c r="D141" s="50">
        <f t="shared" si="7"/>
        <v>15</v>
      </c>
      <c r="E141" s="75">
        <f>SUMIF(Tabela1[Data],C141,Tabela1[Vendas])</f>
        <v>15</v>
      </c>
    </row>
    <row r="142" spans="2:12">
      <c r="C142" s="38">
        <v>43547</v>
      </c>
      <c r="D142" s="50">
        <f t="shared" si="7"/>
        <v>20</v>
      </c>
      <c r="E142" s="75">
        <f>SUMIF(Tabela1[Data],C142,Tabela1[Vendas])</f>
        <v>20</v>
      </c>
    </row>
    <row r="143" spans="2:12">
      <c r="C143" s="38">
        <v>43548</v>
      </c>
      <c r="D143" s="50">
        <f t="shared" si="7"/>
        <v>16</v>
      </c>
      <c r="E143" s="75">
        <f>SUMIF(Tabela1[Data],C143,Tabela1[Vendas])</f>
        <v>16</v>
      </c>
    </row>
    <row r="144" spans="2:12">
      <c r="C144" s="38">
        <v>43549</v>
      </c>
      <c r="D144" s="50">
        <f t="shared" si="7"/>
        <v>0</v>
      </c>
      <c r="E144" s="75">
        <f>SUMIF(Tabela1[Data],C144,Tabela1[Vendas])</f>
        <v>0</v>
      </c>
    </row>
    <row r="145" spans="2:12">
      <c r="C145" s="38">
        <v>43550</v>
      </c>
      <c r="D145" s="50">
        <f t="shared" si="7"/>
        <v>9</v>
      </c>
      <c r="E145" s="75">
        <f>SUMIF(Tabela1[Data],C145,Tabela1[Vendas])</f>
        <v>9</v>
      </c>
    </row>
    <row r="146" spans="2:12"/>
    <row r="147" spans="2:12" ht="25.5" customHeight="1">
      <c r="B147" s="9">
        <v>12</v>
      </c>
      <c r="C147" s="10" t="s">
        <v>36</v>
      </c>
      <c r="D147" s="11"/>
      <c r="E147" s="11"/>
      <c r="F147" s="11"/>
      <c r="G147" s="11"/>
      <c r="H147" s="11"/>
      <c r="I147" s="11"/>
      <c r="J147" s="11"/>
      <c r="K147" s="11"/>
      <c r="L147" s="11"/>
    </row>
    <row r="148" spans="2:12"/>
    <row r="149" spans="2:12" ht="21">
      <c r="C149" s="24" t="s">
        <v>25</v>
      </c>
      <c r="D149" s="24" t="s">
        <v>27</v>
      </c>
      <c r="E149" s="24" t="s">
        <v>26</v>
      </c>
    </row>
    <row r="150" spans="2:12">
      <c r="C150" s="38">
        <v>43541</v>
      </c>
      <c r="D150" s="38" t="s">
        <v>28</v>
      </c>
      <c r="E150" s="51">
        <f>VLOOKUP(TEXT(C150,"DD/MM/AAAA")&amp;D150,$D$52:$G$81,3,0)</f>
        <v>4</v>
      </c>
      <c r="F150" s="5">
        <f>SUMIFS($F$52:$F$81,$E$52:$E$81,C150,$G$52:$G$81,D150)</f>
        <v>4</v>
      </c>
    </row>
    <row r="151" spans="2:12">
      <c r="C151" s="38">
        <v>43542</v>
      </c>
      <c r="D151" s="38" t="s">
        <v>29</v>
      </c>
      <c r="E151" s="51">
        <f t="shared" ref="E151:E152" si="8">VLOOKUP(TEXT(C151,"DD/MM/AAAA")&amp;D151,$D$52:$G$81,3,0)</f>
        <v>0</v>
      </c>
      <c r="F151" s="5">
        <f t="shared" ref="F151:F152" si="9">SUMIFS($F$52:$F$81,$E$52:$E$81,C151,$G$52:$G$81,D151)</f>
        <v>0</v>
      </c>
    </row>
    <row r="152" spans="2:12">
      <c r="C152" s="38">
        <v>43543</v>
      </c>
      <c r="D152" s="38" t="s">
        <v>30</v>
      </c>
      <c r="E152" s="51">
        <f t="shared" si="8"/>
        <v>10</v>
      </c>
      <c r="F152" s="5">
        <f t="shared" si="9"/>
        <v>10</v>
      </c>
    </row>
    <row r="153" spans="2:12"/>
    <row r="154" spans="2:12" ht="25.5" customHeight="1">
      <c r="B154" s="9">
        <v>13</v>
      </c>
      <c r="C154" s="10" t="s">
        <v>37</v>
      </c>
      <c r="D154" s="11"/>
      <c r="E154" s="11"/>
      <c r="F154" s="11"/>
      <c r="G154" s="11"/>
      <c r="H154" s="11"/>
      <c r="I154" s="11"/>
      <c r="J154" s="11"/>
      <c r="K154" s="11"/>
      <c r="L154" s="11"/>
    </row>
    <row r="155" spans="2:12"/>
    <row r="156" spans="2:12" ht="21">
      <c r="C156" s="24" t="s">
        <v>25</v>
      </c>
      <c r="D156" s="24" t="s">
        <v>27</v>
      </c>
      <c r="E156" s="24" t="s">
        <v>26</v>
      </c>
    </row>
    <row r="157" spans="2:12">
      <c r="C157" s="38">
        <v>43541</v>
      </c>
      <c r="D157" s="38" t="s">
        <v>28</v>
      </c>
      <c r="E157" s="76" t="str">
        <f>IF(VLOOKUP(TEXT(C150,"DD/MM/AAAA")&amp;D150,$D$52:$G$81,3,0)&gt;0,"sim","não")</f>
        <v>sim</v>
      </c>
    </row>
    <row r="158" spans="2:12">
      <c r="C158" s="38">
        <v>43542</v>
      </c>
      <c r="D158" s="38" t="s">
        <v>29</v>
      </c>
      <c r="E158" s="76" t="str">
        <f t="shared" ref="E158:E159" si="10">IF(VLOOKUP(TEXT(C151,"DD/MM/AAAA")&amp;D151,$D$52:$G$81,3,0)&gt;0,"sim","não")</f>
        <v>não</v>
      </c>
    </row>
    <row r="159" spans="2:12">
      <c r="C159" s="38">
        <v>43543</v>
      </c>
      <c r="D159" s="38" t="s">
        <v>30</v>
      </c>
      <c r="E159" s="76" t="str">
        <f t="shared" si="10"/>
        <v>sim</v>
      </c>
    </row>
    <row r="160" spans="2:12"/>
    <row r="161" spans="2:12" ht="25.5" customHeight="1">
      <c r="B161" s="9">
        <v>14</v>
      </c>
      <c r="C161" s="10" t="s">
        <v>38</v>
      </c>
      <c r="D161" s="11"/>
      <c r="E161" s="11"/>
      <c r="F161" s="11"/>
      <c r="G161" s="11"/>
      <c r="H161" s="11"/>
      <c r="I161" s="11"/>
      <c r="J161" s="11"/>
      <c r="K161" s="11"/>
      <c r="L161" s="11"/>
    </row>
    <row r="162" spans="2:12"/>
    <row r="163" spans="2:12">
      <c r="C163" s="52"/>
      <c r="D163" s="53"/>
      <c r="E163" s="53"/>
      <c r="F163" s="53"/>
      <c r="G163" s="53"/>
      <c r="H163" s="53"/>
      <c r="I163" s="53"/>
      <c r="J163" s="53"/>
      <c r="K163" s="54"/>
    </row>
    <row r="164" spans="2:12">
      <c r="C164" s="55"/>
      <c r="D164" s="56"/>
      <c r="E164" s="56"/>
      <c r="F164" s="56"/>
      <c r="G164" s="56"/>
      <c r="H164" s="56"/>
      <c r="I164" s="56"/>
      <c r="J164" s="56"/>
      <c r="K164" s="57"/>
    </row>
    <row r="165" spans="2:12">
      <c r="C165" s="55"/>
      <c r="D165" s="56"/>
      <c r="E165" s="56"/>
      <c r="F165" s="56"/>
      <c r="G165" s="56"/>
      <c r="H165" s="56"/>
      <c r="I165" s="56"/>
      <c r="J165" s="56"/>
      <c r="K165" s="57"/>
    </row>
    <row r="166" spans="2:12">
      <c r="C166" s="55"/>
      <c r="D166" s="56"/>
      <c r="E166" s="56"/>
      <c r="F166" s="56"/>
      <c r="G166" s="56"/>
      <c r="H166" s="56"/>
      <c r="I166" s="56"/>
      <c r="J166" s="56"/>
      <c r="K166" s="57"/>
    </row>
    <row r="167" spans="2:12">
      <c r="C167" s="55"/>
      <c r="D167" s="56"/>
      <c r="E167" s="56"/>
      <c r="F167" s="56"/>
      <c r="G167" s="56"/>
      <c r="H167" s="56"/>
      <c r="I167" s="56"/>
      <c r="J167" s="56"/>
      <c r="K167" s="57"/>
    </row>
    <row r="168" spans="2:12">
      <c r="C168" s="55"/>
      <c r="D168" s="56"/>
      <c r="E168" s="56"/>
      <c r="F168" s="56"/>
      <c r="G168" s="56"/>
      <c r="H168" s="56"/>
      <c r="I168" s="56"/>
      <c r="J168" s="56"/>
      <c r="K168" s="57"/>
    </row>
    <row r="169" spans="2:12">
      <c r="C169" s="55"/>
      <c r="D169" s="56"/>
      <c r="E169" s="56"/>
      <c r="F169" s="56"/>
      <c r="G169" s="56"/>
      <c r="H169" s="56"/>
      <c r="I169" s="56"/>
      <c r="J169" s="56"/>
      <c r="K169" s="57"/>
    </row>
    <row r="170" spans="2:12">
      <c r="C170" s="55"/>
      <c r="D170" s="56"/>
      <c r="E170" s="56"/>
      <c r="F170" s="56"/>
      <c r="G170" s="56"/>
      <c r="H170" s="56"/>
      <c r="I170" s="56"/>
      <c r="J170" s="56"/>
      <c r="K170" s="57"/>
    </row>
    <row r="171" spans="2:12">
      <c r="C171" s="55"/>
      <c r="D171" s="56"/>
      <c r="E171" s="56"/>
      <c r="F171" s="56"/>
      <c r="G171" s="56"/>
      <c r="H171" s="56"/>
      <c r="I171" s="56"/>
      <c r="J171" s="56"/>
      <c r="K171" s="57"/>
    </row>
    <row r="172" spans="2:12">
      <c r="C172" s="55"/>
      <c r="D172" s="56"/>
      <c r="E172" s="56"/>
      <c r="F172" s="56"/>
      <c r="G172" s="56"/>
      <c r="H172" s="56"/>
      <c r="I172" s="56"/>
      <c r="J172" s="56"/>
      <c r="K172" s="57"/>
    </row>
    <row r="173" spans="2:12">
      <c r="C173" s="55"/>
      <c r="D173" s="56"/>
      <c r="E173" s="56"/>
      <c r="F173" s="56"/>
      <c r="G173" s="56"/>
      <c r="H173" s="56"/>
      <c r="I173" s="56"/>
      <c r="J173" s="56"/>
      <c r="K173" s="57"/>
    </row>
    <row r="174" spans="2:12">
      <c r="C174" s="55"/>
      <c r="D174" s="56"/>
      <c r="E174" s="56"/>
      <c r="F174" s="56"/>
      <c r="G174" s="56"/>
      <c r="H174" s="56"/>
      <c r="I174" s="56"/>
      <c r="J174" s="56"/>
      <c r="K174" s="57"/>
    </row>
    <row r="175" spans="2:12">
      <c r="C175" s="55"/>
      <c r="D175" s="56"/>
      <c r="E175" s="56"/>
      <c r="F175" s="56"/>
      <c r="G175" s="56"/>
      <c r="H175" s="56"/>
      <c r="I175" s="56"/>
      <c r="J175" s="56"/>
      <c r="K175" s="57"/>
    </row>
    <row r="176" spans="2:12">
      <c r="C176" s="55"/>
      <c r="D176" s="56"/>
      <c r="E176" s="56"/>
      <c r="F176" s="56"/>
      <c r="G176" s="56"/>
      <c r="H176" s="56"/>
      <c r="I176" s="56"/>
      <c r="J176" s="56"/>
      <c r="K176" s="57"/>
    </row>
    <row r="177" spans="2:12">
      <c r="C177" s="55"/>
      <c r="D177" s="56"/>
      <c r="E177" s="56"/>
      <c r="F177" s="56"/>
      <c r="G177" s="56"/>
      <c r="H177" s="56"/>
      <c r="I177" s="56"/>
      <c r="J177" s="56"/>
      <c r="K177" s="57"/>
    </row>
    <row r="178" spans="2:12">
      <c r="C178" s="55"/>
      <c r="D178" s="56"/>
      <c r="E178" s="56"/>
      <c r="F178" s="56"/>
      <c r="G178" s="56"/>
      <c r="H178" s="56"/>
      <c r="I178" s="56"/>
      <c r="J178" s="56"/>
      <c r="K178" s="57"/>
    </row>
    <row r="179" spans="2:12">
      <c r="C179" s="58"/>
      <c r="D179" s="59"/>
      <c r="E179" s="59"/>
      <c r="F179" s="59"/>
      <c r="G179" s="59"/>
      <c r="H179" s="59"/>
      <c r="I179" s="59"/>
      <c r="J179" s="59"/>
      <c r="K179" s="60"/>
    </row>
    <row r="180" spans="2:12"/>
    <row r="181" spans="2:12" ht="25.5" customHeight="1">
      <c r="B181" s="9">
        <v>15</v>
      </c>
      <c r="C181" s="10" t="s">
        <v>39</v>
      </c>
      <c r="D181" s="11"/>
      <c r="E181" s="11"/>
      <c r="F181" s="11"/>
      <c r="G181" s="11"/>
      <c r="H181" s="11"/>
      <c r="I181" s="11"/>
      <c r="J181" s="11"/>
      <c r="K181" s="11"/>
      <c r="L181" s="11"/>
    </row>
    <row r="182" spans="2:12"/>
    <row r="183" spans="2:12" ht="19.5">
      <c r="C183" s="61"/>
      <c r="D183" s="62" t="s">
        <v>40</v>
      </c>
    </row>
    <row r="184" spans="2:12"/>
    <row r="185" spans="2:12" ht="20.25">
      <c r="C185" s="20" t="s">
        <v>12</v>
      </c>
      <c r="D185" s="63">
        <v>13</v>
      </c>
    </row>
    <row r="186" spans="2:12"/>
    <row r="187" spans="2:12" ht="25.5" customHeight="1">
      <c r="B187" s="9">
        <v>16</v>
      </c>
      <c r="C187" s="10" t="s">
        <v>41</v>
      </c>
      <c r="D187" s="11"/>
      <c r="E187" s="11"/>
      <c r="F187" s="11"/>
      <c r="G187" s="11"/>
      <c r="H187" s="11"/>
      <c r="I187" s="11"/>
      <c r="J187" s="11"/>
      <c r="K187" s="11"/>
      <c r="L187" s="11"/>
    </row>
    <row r="188" spans="2:12"/>
    <row r="189" spans="2:12">
      <c r="F189" s="20" t="s">
        <v>42</v>
      </c>
    </row>
    <row r="190" spans="2:12" ht="19.5">
      <c r="C190" s="61"/>
      <c r="D190" s="64">
        <v>43770</v>
      </c>
      <c r="F190" s="64">
        <v>43739</v>
      </c>
    </row>
    <row r="191" spans="2:12"/>
    <row r="192" spans="2:12" ht="26.25">
      <c r="C192" s="20" t="s">
        <v>12</v>
      </c>
      <c r="D192" s="65" t="str">
        <f>PROPER(TEXT(D190,"MMMM"))</f>
        <v>Novembro</v>
      </c>
      <c r="F192" s="7"/>
    </row>
    <row r="193" spans="2:12"/>
    <row r="194" spans="2:12" ht="25.5" customHeight="1">
      <c r="B194" s="9">
        <v>17</v>
      </c>
      <c r="C194" s="10" t="s">
        <v>43</v>
      </c>
      <c r="D194" s="11"/>
      <c r="E194" s="11"/>
      <c r="F194" s="11"/>
      <c r="G194" s="11"/>
      <c r="H194" s="11"/>
      <c r="I194" s="11"/>
      <c r="J194" s="11"/>
      <c r="K194" s="11"/>
      <c r="L194" s="11"/>
    </row>
    <row r="195" spans="2:12"/>
    <row r="196" spans="2:12" ht="20.25">
      <c r="C196" s="5" t="s">
        <v>44</v>
      </c>
      <c r="D196" s="5" t="s">
        <v>45</v>
      </c>
      <c r="E196" s="5" t="s">
        <v>46</v>
      </c>
      <c r="F196" s="79" t="str">
        <f>C196&amp;" "&amp;D196&amp;" "&amp;E196</f>
        <v>ANA MARIA FERREIRA</v>
      </c>
      <c r="G196" s="80"/>
      <c r="H196" s="80"/>
      <c r="I196" s="81"/>
    </row>
    <row r="197" spans="2:12"/>
    <row r="198" spans="2:12" ht="25.5" customHeight="1">
      <c r="B198" s="9">
        <v>18</v>
      </c>
      <c r="C198" s="10" t="s">
        <v>47</v>
      </c>
      <c r="D198" s="11"/>
      <c r="E198" s="11"/>
      <c r="F198" s="11"/>
      <c r="G198" s="11"/>
      <c r="H198" s="11"/>
      <c r="I198" s="11"/>
      <c r="J198" s="11"/>
      <c r="K198" s="11"/>
      <c r="L198" s="11"/>
    </row>
    <row r="199" spans="2:12"/>
    <row r="200" spans="2:12">
      <c r="C200" s="5" t="s">
        <v>48</v>
      </c>
      <c r="F200" s="82"/>
      <c r="G200" s="83"/>
      <c r="H200" s="83"/>
      <c r="I200" s="84"/>
    </row>
    <row r="201" spans="2:12">
      <c r="C201" s="5" t="s">
        <v>49</v>
      </c>
      <c r="F201" s="82"/>
      <c r="G201" s="83"/>
      <c r="H201" s="83"/>
      <c r="I201" s="84"/>
    </row>
    <row r="202" spans="2:12">
      <c r="C202" s="5" t="s">
        <v>50</v>
      </c>
      <c r="F202" s="82"/>
      <c r="G202" s="83"/>
      <c r="H202" s="83"/>
      <c r="I202" s="84"/>
    </row>
    <row r="203" spans="2:12"/>
    <row r="204" spans="2:12" ht="25.5" customHeight="1">
      <c r="B204" s="9">
        <v>19</v>
      </c>
      <c r="C204" s="10" t="s">
        <v>51</v>
      </c>
      <c r="D204" s="11"/>
      <c r="E204" s="11"/>
      <c r="F204" s="11"/>
      <c r="G204" s="11"/>
      <c r="H204" s="11"/>
      <c r="I204" s="11"/>
      <c r="J204" s="11"/>
      <c r="K204" s="11"/>
      <c r="L204" s="11"/>
    </row>
    <row r="205" spans="2:12"/>
    <row r="206" spans="2:12" ht="21">
      <c r="C206" s="24" t="s">
        <v>52</v>
      </c>
      <c r="D206" s="24" t="s">
        <v>53</v>
      </c>
      <c r="E206" s="24" t="s">
        <v>54</v>
      </c>
    </row>
    <row r="207" spans="2:12">
      <c r="C207" s="66">
        <v>15</v>
      </c>
      <c r="D207" s="66">
        <v>8</v>
      </c>
      <c r="E207" s="67"/>
    </row>
    <row r="208" spans="2:12">
      <c r="C208" s="66">
        <v>0</v>
      </c>
      <c r="D208" s="66">
        <v>18</v>
      </c>
      <c r="E208" s="67"/>
    </row>
    <row r="209" spans="2:12">
      <c r="C209" s="66">
        <v>0</v>
      </c>
      <c r="D209" s="66">
        <v>15</v>
      </c>
      <c r="E209" s="67"/>
    </row>
    <row r="210" spans="2:12"/>
    <row r="211" spans="2:12" ht="25.5" customHeight="1">
      <c r="B211" s="9">
        <v>20</v>
      </c>
      <c r="C211" s="10" t="s">
        <v>55</v>
      </c>
      <c r="D211" s="11"/>
      <c r="E211" s="11"/>
      <c r="F211" s="11"/>
      <c r="G211" s="11"/>
      <c r="H211" s="11"/>
      <c r="I211" s="11"/>
      <c r="J211" s="11"/>
      <c r="K211" s="11"/>
      <c r="L211" s="11"/>
    </row>
    <row r="212" spans="2:12">
      <c r="C212" s="68" t="s">
        <v>56</v>
      </c>
    </row>
    <row r="213" spans="2:12">
      <c r="C213" s="68" t="s">
        <v>57</v>
      </c>
    </row>
    <row r="214" spans="2:12">
      <c r="C214" s="68" t="s">
        <v>58</v>
      </c>
    </row>
    <row r="215" spans="2:12">
      <c r="C215" s="68" t="s">
        <v>59</v>
      </c>
    </row>
    <row r="216" spans="2:12">
      <c r="C216" s="68" t="s">
        <v>60</v>
      </c>
    </row>
    <row r="217" spans="2:12">
      <c r="C217" s="68" t="s">
        <v>61</v>
      </c>
    </row>
    <row r="218" spans="2:12">
      <c r="C218" s="68" t="s">
        <v>62</v>
      </c>
    </row>
    <row r="219" spans="2:12">
      <c r="C219" s="68" t="s">
        <v>63</v>
      </c>
    </row>
    <row r="220" spans="2:12">
      <c r="C220" s="68" t="s">
        <v>64</v>
      </c>
    </row>
    <row r="221" spans="2:12">
      <c r="C221" s="68" t="s">
        <v>65</v>
      </c>
    </row>
    <row r="222" spans="2:12">
      <c r="C222" s="68" t="s">
        <v>66</v>
      </c>
    </row>
    <row r="223" spans="2:12">
      <c r="C223" s="68" t="s">
        <v>67</v>
      </c>
    </row>
    <row r="224" spans="2:12">
      <c r="C224" s="68" t="s">
        <v>68</v>
      </c>
    </row>
    <row r="225" spans="3:3">
      <c r="C225" s="68" t="s">
        <v>69</v>
      </c>
    </row>
    <row r="226" spans="3:3">
      <c r="C226" s="68" t="s">
        <v>70</v>
      </c>
    </row>
    <row r="227" spans="3:3">
      <c r="C227" s="68" t="s">
        <v>71</v>
      </c>
    </row>
    <row r="228" spans="3:3">
      <c r="C228" s="68" t="s">
        <v>72</v>
      </c>
    </row>
    <row r="229" spans="3:3">
      <c r="C229" s="68" t="s">
        <v>73</v>
      </c>
    </row>
    <row r="230" spans="3:3">
      <c r="C230" s="68" t="s">
        <v>74</v>
      </c>
    </row>
    <row r="231" spans="3:3">
      <c r="C231" s="68" t="s">
        <v>75</v>
      </c>
    </row>
    <row r="232" spans="3:3">
      <c r="C232" s="68" t="s">
        <v>76</v>
      </c>
    </row>
    <row r="233" spans="3:3">
      <c r="C233" s="68" t="s">
        <v>77</v>
      </c>
    </row>
    <row r="234" spans="3:3">
      <c r="C234" s="68" t="s">
        <v>78</v>
      </c>
    </row>
    <row r="235" spans="3:3">
      <c r="C235" s="68" t="s">
        <v>79</v>
      </c>
    </row>
    <row r="236" spans="3:3">
      <c r="C236" s="68" t="s">
        <v>80</v>
      </c>
    </row>
    <row r="237" spans="3:3">
      <c r="C237" s="68" t="s">
        <v>81</v>
      </c>
    </row>
    <row r="238" spans="3:3">
      <c r="C238" s="68" t="s">
        <v>82</v>
      </c>
    </row>
    <row r="239" spans="3:3">
      <c r="C239" s="68" t="s">
        <v>83</v>
      </c>
    </row>
    <row r="240" spans="3:3">
      <c r="C240" s="68" t="s">
        <v>84</v>
      </c>
    </row>
    <row r="241" spans="2:12">
      <c r="C241" s="68" t="s">
        <v>85</v>
      </c>
    </row>
    <row r="242" spans="2:12">
      <c r="C242" s="68" t="s">
        <v>86</v>
      </c>
    </row>
    <row r="243" spans="2:12">
      <c r="C243" s="68" t="s">
        <v>87</v>
      </c>
    </row>
    <row r="244" spans="2:12">
      <c r="C244" s="68" t="s">
        <v>88</v>
      </c>
    </row>
    <row r="245" spans="2:12">
      <c r="C245" s="68" t="s">
        <v>89</v>
      </c>
    </row>
    <row r="246" spans="2:12">
      <c r="C246" s="68" t="s">
        <v>90</v>
      </c>
    </row>
    <row r="247" spans="2:12">
      <c r="C247" s="68" t="s">
        <v>91</v>
      </c>
    </row>
    <row r="248" spans="2:12"/>
    <row r="249" spans="2:12" ht="25.5" customHeight="1">
      <c r="B249" s="9">
        <v>21</v>
      </c>
      <c r="C249" s="10" t="s">
        <v>92</v>
      </c>
      <c r="D249" s="11"/>
      <c r="E249" s="11"/>
      <c r="F249" s="11"/>
      <c r="G249" s="11"/>
      <c r="H249" s="11"/>
      <c r="I249" s="11"/>
      <c r="J249" s="11"/>
      <c r="K249" s="11"/>
      <c r="L249" s="11"/>
    </row>
    <row r="250" spans="2:12"/>
    <row r="251" spans="2:12" ht="21" customHeight="1">
      <c r="C251"/>
      <c r="D251"/>
      <c r="E251"/>
      <c r="F251"/>
      <c r="G251" s="69"/>
      <c r="H251" s="69"/>
      <c r="I251" s="69"/>
      <c r="J251" s="77" t="s">
        <v>93</v>
      </c>
      <c r="K251" s="77"/>
      <c r="L251" s="77"/>
    </row>
    <row r="252" spans="2:12" ht="19.5" customHeight="1">
      <c r="C252" s="70" t="s">
        <v>94</v>
      </c>
      <c r="D252" s="70"/>
      <c r="E252" s="70"/>
      <c r="F252" s="70"/>
      <c r="G252" s="70"/>
      <c r="H252" s="70"/>
      <c r="I252" s="70"/>
      <c r="J252" s="85"/>
      <c r="K252" s="86"/>
      <c r="L252" s="87"/>
    </row>
    <row r="253" spans="2:12">
      <c r="C253" s="70" t="s">
        <v>95</v>
      </c>
      <c r="D253" s="70"/>
      <c r="E253" s="70"/>
      <c r="F253" s="70"/>
      <c r="G253" s="70"/>
      <c r="H253" s="70"/>
      <c r="I253" s="70"/>
      <c r="J253" s="85"/>
      <c r="K253" s="86"/>
      <c r="L253" s="87"/>
    </row>
    <row r="254" spans="2:12">
      <c r="C254" s="70" t="s">
        <v>96</v>
      </c>
      <c r="D254" s="70"/>
      <c r="E254" s="70"/>
      <c r="F254" s="70"/>
      <c r="G254" s="70"/>
      <c r="H254" s="70"/>
      <c r="I254" s="70"/>
      <c r="J254" s="85"/>
      <c r="K254" s="86"/>
      <c r="L254" s="87"/>
    </row>
    <row r="255" spans="2:12">
      <c r="C255" s="70" t="s">
        <v>97</v>
      </c>
      <c r="D255" s="70"/>
      <c r="E255" s="70"/>
      <c r="F255" s="70"/>
      <c r="G255" s="70"/>
      <c r="H255" s="70"/>
      <c r="I255" s="70"/>
      <c r="J255" s="85"/>
      <c r="K255" s="86"/>
      <c r="L255" s="87"/>
    </row>
    <row r="256" spans="2:12">
      <c r="C256" s="70" t="s">
        <v>98</v>
      </c>
      <c r="D256" s="70"/>
      <c r="E256" s="70"/>
      <c r="F256" s="70"/>
      <c r="G256" s="70"/>
      <c r="H256" s="70"/>
      <c r="I256" s="70"/>
      <c r="J256" s="85"/>
      <c r="K256" s="86"/>
      <c r="L256" s="87"/>
    </row>
    <row r="257" spans="2:12"/>
    <row r="258" spans="2:12" ht="25.5" customHeight="1">
      <c r="B258" s="9">
        <v>22</v>
      </c>
      <c r="C258" s="10" t="s">
        <v>99</v>
      </c>
      <c r="D258" s="11"/>
      <c r="E258" s="11"/>
      <c r="F258" s="11"/>
      <c r="G258" s="11"/>
      <c r="H258" s="11"/>
      <c r="I258" s="11"/>
      <c r="J258" s="11"/>
      <c r="K258" s="11"/>
      <c r="L258" s="11"/>
    </row>
    <row r="259" spans="2:12"/>
    <row r="260" spans="2:12">
      <c r="C260" s="20" t="s">
        <v>12</v>
      </c>
      <c r="D260" s="7"/>
    </row>
    <row r="261" spans="2:12"/>
  </sheetData>
  <mergeCells count="11">
    <mergeCell ref="J252:L252"/>
    <mergeCell ref="J253:L253"/>
    <mergeCell ref="J254:L254"/>
    <mergeCell ref="J255:L255"/>
    <mergeCell ref="J256:L256"/>
    <mergeCell ref="J251:L251"/>
    <mergeCell ref="C6:L6"/>
    <mergeCell ref="F196:I196"/>
    <mergeCell ref="F200:I200"/>
    <mergeCell ref="F201:I201"/>
    <mergeCell ref="F202:I202"/>
  </mergeCells>
  <conditionalFormatting sqref="G52:G81">
    <cfRule type="containsText" dxfId="5" priority="3" operator="containsText" text="Peter">
      <formula>NOT(ISERROR(SEARCH("Peter",G52)))</formula>
    </cfRule>
    <cfRule type="cellIs" dxfId="4" priority="1" operator="equal">
      <formula>"Bill"</formula>
    </cfRule>
  </conditionalFormatting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Prova MIS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Egildo Lira</dc:creator>
  <cp:lastModifiedBy>Sousa, Caio</cp:lastModifiedBy>
  <dcterms:created xsi:type="dcterms:W3CDTF">2021-01-27T21:45:19Z</dcterms:created>
  <dcterms:modified xsi:type="dcterms:W3CDTF">2021-03-20T11:20:21Z</dcterms:modified>
</cp:coreProperties>
</file>